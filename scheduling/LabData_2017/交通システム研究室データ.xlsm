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<sst xmlns="http://schemas.openxmlformats.org/spreadsheetml/2006/main" count="391" uniqueCount="357">
  <si>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</si>
  <si>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</si>
  <si>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</si>
  <si>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</si>
  <si>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</si>
  <si>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</si>
  <si>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</si>
  <si>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</si>
  <si>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</si>
  <si>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</si>
  <si>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</si>
  <si>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</si>
  <si>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</si>
  <si>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</si>
  <si>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</si>
  <si>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</si>
  <si>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</si>
  <si>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</si>
  <si>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</si>
  <si>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</si>
  <si>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</si>
  <si>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</si>
  <si>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</si>
  <si>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</si>
  <si>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</si>
  <si>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</si>
  <si>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</si>
  <si>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</si>
  <si>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</si>
  <si>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</si>
  <si>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</si>
  <si>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</si>
  <si>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</si>
  <si>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</si>
  <si>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</si>
  <si>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</si>
  <si>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</si>
  <si>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</si>
  <si>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</si>
  <si>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</si>
  <si>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</si>
  <si>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</si>
  <si>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</si>
  <si>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</si>
  <si>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</si>
  <si>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</si>
  <si>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</si>
  <si>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</si>
  <si>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</si>
  <si>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</si>
  <si>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</si>
  <si>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</si>
  <si>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</si>
  <si>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</si>
  <si>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</si>
  <si>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</si>
  <si>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</si>
  <si>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</si>
  <si>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</si>
  <si>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</si>
  <si>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</si>
  <si>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</si>
  <si>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</si>
  <si>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</si>
  <si>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</si>
  <si>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</si>
  <si>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</si>
  <si>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</si>
  <si>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</si>
  <si>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</si>
  <si>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</si>
  <si>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</si>
  <si>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</si>
  <si>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</si>
  <si>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</si>
  <si>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</si>
  <si>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</si>
  <si>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</si>
  <si>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</si>
  <si>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</si>
  <si>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</si>
  <si>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</si>
  <si>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</si>
  <si>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</si>
  <si>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</si>
  <si>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</si>
  <si>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</si>
  <si>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</si>
  <si>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</si>
  <si>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</si>
  <si>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</si>
  <si>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</si>
  <si>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</si>
  <si>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</si>
  <si>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</si>
  <si>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</si>
  <si>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</si>
  <si>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</si>
  <si>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</si>
  <si>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</si>
  <si>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</si>
  <si>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</si>
  <si>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</si>
  <si>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</si>
  <si>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</si>
  <si>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</si>
  <si>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</si>
  <si>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</si>
  <si>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</si>
  <si>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</si>
  <si>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</si>
  <si>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</si>
  <si>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</si>
  <si>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</si>
  <si>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</si>
  <si>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</si>
  <si>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</si>
  <si>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</si>
  <si>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</si>
  <si>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</si>
  <si>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</si>
  <si>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</si>
  <si>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</si>
  <si>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</si>
  <si>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</si>
  <si>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</si>
  <si>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</si>
  <si>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</si>
  <si>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</si>
  <si>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</si>
  <si>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</si>
  <si>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</si>
  <si>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</si>
  <si>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</si>
  <si>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</si>
  <si>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</si>
  <si>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</si>
  <si>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</si>
  <si>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</si>
  <si>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</si>
  <si>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</si>
  <si>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</si>
  <si>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</si>
  <si>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</si>
  <si>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</si>
  <si>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</si>
  <si>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</si>
  <si>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</si>
  <si>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</si>
  <si>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</si>
  <si>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</si>
  <si>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</si>
  <si>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</si>
  <si>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</si>
  <si>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</si>
  <si>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</si>
  <si>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</si>
  <si>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</si>
  <si>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</si>
  <si>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</si>
  <si>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</si>
  <si>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</si>
  <si>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</si>
  <si>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</si>
  <si>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</si>
  <si>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</si>
  <si>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</si>
  <si>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</si>
  <si>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</si>
  <si>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</si>
  <si>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</si>
  <si>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</si>
  <si>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</si>
  <si>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</si>
  <si>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</si>
  <si>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</si>
  <si>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</si>
  <si>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</si>
  <si>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</si>
  <si>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</si>
  <si>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</si>
  <si>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</si>
  <si>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</si>
  <si>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</si>
  <si>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</si>
  <si>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</si>
  <si>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</si>
  <si>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</si>
  <si>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</si>
  <si>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</si>
  <si>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</si>
  <si>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</si>
  <si>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</si>
  <si>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</si>
  <si>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</si>
  <si>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</si>
  <si>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</si>
  <si>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</si>
  <si>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</si>
  <si>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</si>
  <si>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</si>
  <si>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</si>
  <si>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</si>
  <si>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</si>
  <si>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</si>
  <si>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</si>
  <si>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</si>
  <si>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</si>
  <si>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</si>
  <si>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</si>
  <si>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</si>
  <si>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</si>
  <si>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</si>
  <si>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</si>
  <si>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</si>
  <si>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</si>
  <si>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</si>
  <si>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</si>
  <si>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</si>
  <si>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</si>
  <si>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</si>
  <si>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</si>
  <si>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</si>
  <si>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</si>
  <si>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</si>
  <si>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</si>
  <si>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</si>
  <si>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</si>
  <si>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</si>
  <si>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</si>
  <si>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</si>
  <si>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</si>
  <si>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</si>
  <si>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</si>
  <si>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</si>
  <si>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</si>
  <si>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</si>
  <si>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</si>
  <si>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</si>
  <si>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</si>
  <si>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</si>
  <si>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</si>
  <si>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</si>
  <si>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</si>
  <si>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</si>
  <si>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</si>
  <si>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</si>
  <si>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</si>
  <si>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</si>
  <si>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</si>
  <si>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</si>
  <si>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</si>
  <si>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</si>
  <si>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</si>
  <si>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</si>
  <si>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</si>
  <si>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</si>
  <si>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</si>
  <si>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</si>
  <si>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</si>
  <si>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</si>
  <si>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</si>
  <si>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</si>
  <si>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</si>
  <si>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</si>
  <si>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</si>
  <si>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</si>
  <si>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</si>
  <si>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</si>
  <si>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</si>
  <si>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</si>
  <si>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</si>
  <si>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</si>
  <si>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</si>
  <si>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</si>
  <si>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</si>
  <si>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</si>
  <si>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</si>
  <si>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</si>
  <si>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</si>
  <si>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</si>
  <si>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</si>
  <si>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</si>
  <si>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</si>
  <si>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</si>
  <si>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</si>
  <si>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</si>
  <si>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</si>
  <si>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</si>
  <si>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</si>
  <si>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</si>
  <si>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</si>
  <si>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</si>
  <si>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</si>
  <si>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</si>
  <si>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</si>
  <si>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</si>
  <si>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</si>
  <si>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</si>
  <si>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</si>
  <si>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</si>
  <si>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</si>
  <si>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</si>
  <si>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</si>
  <si>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</si>
  <si>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</si>
  <si>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</si>
  <si>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</si>
  <si>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</si>
  <si>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</si>
  <si>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</si>
  <si>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</si>
  <si>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</si>
  <si>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</si>
  <si>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</si>
  <si>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</si>
  <si>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</si>
  <si>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</si>
  <si>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</si>
  <si>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</si>
  <si>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</si>
  <si>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</si>
  <si>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</si>
  <si>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</si>
  <si>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</si>
  <si>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</si>
  <si>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</si>
  <si>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</si>
  <si>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</si>
  <si>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</si>
  <si>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</si>
  <si>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</si>
  <si>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</si>
  <si>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</si>
  <si>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</si>
  <si>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</si>
  <si>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</si>
  <si>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</si>
  <si>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</si>
  <si>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</si>
  <si>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</si>
  <si>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</si>
  <si>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</si>
  <si>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</si>
  <si>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</si>
  <si>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</si>
  <si>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</si>
  <si>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</si>
  <si>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</si>
  <si>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</si>
  <si>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可</t>
  </si>
  <si>
    <t>民話分析に基づく歴史的地域精神風土に関する考察</t>
    <phoneticPr fontId="1"/>
  </si>
  <si>
    <t>サウンドスケープからみた大学キャンパスの環境デザイン</t>
    <phoneticPr fontId="1"/>
  </si>
  <si>
    <t>超小型モビリティの走行特性を考慮した道路交通流解析</t>
    <phoneticPr fontId="1"/>
  </si>
  <si>
    <t>群知能を用いた都市高速道路対距離料金決定に関する研究</t>
    <phoneticPr fontId="1"/>
  </si>
  <si>
    <t>都市高速道路の維持補修計画を考慮した経年的料金政策</t>
    <phoneticPr fontId="1"/>
  </si>
  <si>
    <t>地方都市の自転車利用に着目した都市交通政策の評価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</si>
</sst>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L21" sqref="L21:M21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4" t="s">
        <v>344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37" t="s">
        <v>39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9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13</v>
      </c>
      <c r="D5" s="8"/>
      <c r="E5" s="8"/>
      <c r="F5" s="34" t="s">
        <v>346</v>
      </c>
      <c r="G5" s="35"/>
      <c r="H5" s="35"/>
      <c r="I5" s="35"/>
      <c r="J5" s="35"/>
      <c r="K5" s="35"/>
      <c r="L5" s="35"/>
      <c r="M5" s="36"/>
      <c r="N5" s="2"/>
      <c r="O5" s="2"/>
      <c r="P5" s="2"/>
      <c r="Q5" s="59" t="s">
        <v>349</v>
      </c>
      <c r="R5" s="59"/>
      <c r="S5" s="59"/>
      <c r="T5" s="59"/>
      <c r="U5" s="59"/>
      <c r="V5" s="59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4" t="s">
        <v>7</v>
      </c>
      <c r="G6" s="36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59"/>
      <c r="R6" s="59"/>
      <c r="S6" s="59"/>
      <c r="T6" s="59"/>
      <c r="U6" s="59"/>
      <c r="V6" s="59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45" t="s">
        <v>9</v>
      </c>
      <c r="G7" s="46"/>
      <c r="H7" s="47" t="s">
        <v>10</v>
      </c>
      <c r="I7" s="48"/>
      <c r="J7" s="48"/>
      <c r="K7" s="49"/>
      <c r="L7" s="50" t="s">
        <v>11</v>
      </c>
      <c r="M7" s="51"/>
      <c r="N7" s="2"/>
      <c r="O7" s="2"/>
      <c r="P7" s="2"/>
      <c r="Q7" s="59"/>
      <c r="R7" s="59"/>
      <c r="S7" s="59"/>
      <c r="T7" s="59"/>
      <c r="U7" s="59"/>
      <c r="V7" s="59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59</v>
      </c>
      <c r="D8" s="2"/>
      <c r="E8" s="4"/>
      <c r="F8" s="60" t="s">
        <v>8</v>
      </c>
      <c r="G8" s="61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59"/>
      <c r="R8" s="59"/>
      <c r="S8" s="59"/>
      <c r="T8" s="59"/>
      <c r="U8" s="59"/>
      <c r="V8" s="59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4" t="s">
        <v>14</v>
      </c>
      <c r="G9" s="36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59"/>
      <c r="R9" s="59"/>
      <c r="S9" s="59"/>
      <c r="T9" s="59"/>
      <c r="U9" s="59"/>
      <c r="V9" s="59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59"/>
      <c r="R10" s="59"/>
      <c r="S10" s="59"/>
      <c r="T10" s="59"/>
      <c r="U10" s="59"/>
      <c r="V10" s="59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4" t="s">
        <v>16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6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76" t="s">
        <v>347</v>
      </c>
      <c r="C12" s="78" t="s">
        <v>17</v>
      </c>
      <c r="D12" s="62" t="s">
        <v>19</v>
      </c>
      <c r="E12" s="63"/>
      <c r="F12" s="63"/>
      <c r="G12" s="63"/>
      <c r="H12" s="63"/>
      <c r="I12" s="64"/>
      <c r="J12" s="68" t="s">
        <v>348</v>
      </c>
      <c r="K12" s="63"/>
      <c r="L12" s="63"/>
      <c r="M12" s="63"/>
      <c r="N12" s="69"/>
      <c r="O12" s="70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77"/>
      <c r="C13" s="79"/>
      <c r="D13" s="65"/>
      <c r="E13" s="66"/>
      <c r="F13" s="66"/>
      <c r="G13" s="66"/>
      <c r="H13" s="66"/>
      <c r="I13" s="67"/>
      <c r="J13" s="72" t="s">
        <v>20</v>
      </c>
      <c r="K13" s="73"/>
      <c r="L13" s="71" t="s">
        <v>22</v>
      </c>
      <c r="M13" s="71"/>
      <c r="N13" s="74" t="s">
        <v>21</v>
      </c>
      <c r="O13" s="75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150</v>
      </c>
      <c r="C14" s="26" t="str">
        <f>IF(B14="","",VLOOKUP(B14,設定シート!$D$2:$E$138,2,))</f>
        <v>江城　崚治</v>
      </c>
      <c r="D14" s="56" t="s">
        <v>351</v>
      </c>
      <c r="E14" s="56"/>
      <c r="F14" s="56"/>
      <c r="G14" s="56"/>
      <c r="H14" s="56"/>
      <c r="I14" s="56"/>
      <c r="J14" s="57" t="s">
        <v>350</v>
      </c>
      <c r="K14" s="58"/>
      <c r="L14" s="52" t="s">
        <v>350</v>
      </c>
      <c r="M14" s="53"/>
      <c r="N14" s="52" t="s">
        <v>350</v>
      </c>
      <c r="O14" s="54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151</v>
      </c>
      <c r="C15" s="27" t="str">
        <f>IF(B15="","",VLOOKUP(B15,設定シート!$D$2:$E$138,2,))</f>
        <v>小澤　佑太</v>
      </c>
      <c r="D15" s="40" t="s">
        <v>352</v>
      </c>
      <c r="E15" s="40"/>
      <c r="F15" s="40"/>
      <c r="G15" s="40"/>
      <c r="H15" s="40"/>
      <c r="I15" s="55"/>
      <c r="J15" s="41" t="s">
        <v>350</v>
      </c>
      <c r="K15" s="42"/>
      <c r="L15" s="43" t="s">
        <v>350</v>
      </c>
      <c r="M15" s="42"/>
      <c r="N15" s="43" t="s">
        <v>350</v>
      </c>
      <c r="O15" s="44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152</v>
      </c>
      <c r="C16" s="27" t="str">
        <f>IF(B16="","",VLOOKUP(B16,設定シート!$D$2:$E$138,2,))</f>
        <v>杉上　優希</v>
      </c>
      <c r="D16" s="40" t="s">
        <v>353</v>
      </c>
      <c r="E16" s="40"/>
      <c r="F16" s="40"/>
      <c r="G16" s="40"/>
      <c r="H16" s="40"/>
      <c r="I16" s="55"/>
      <c r="J16" s="41" t="s">
        <v>350</v>
      </c>
      <c r="K16" s="42"/>
      <c r="L16" s="43" t="s">
        <v>350</v>
      </c>
      <c r="M16" s="42"/>
      <c r="N16" s="43" t="s">
        <v>350</v>
      </c>
      <c r="O16" s="44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153</v>
      </c>
      <c r="C17" s="27" t="str">
        <f>IF(B17="","",VLOOKUP(B17,設定シート!$D$2:$E$138,2,))</f>
        <v>田村　雄大</v>
      </c>
      <c r="D17" s="40" t="s">
        <v>354</v>
      </c>
      <c r="E17" s="40"/>
      <c r="F17" s="40"/>
      <c r="G17" s="40"/>
      <c r="H17" s="40"/>
      <c r="I17" s="40"/>
      <c r="J17" s="41" t="s">
        <v>350</v>
      </c>
      <c r="K17" s="42"/>
      <c r="L17" s="43" t="s">
        <v>350</v>
      </c>
      <c r="M17" s="42"/>
      <c r="N17" s="43" t="s">
        <v>350</v>
      </c>
      <c r="O17" s="44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154</v>
      </c>
      <c r="C18" s="27" t="str">
        <f>IF(B18="","",VLOOKUP(B18,設定シート!$D$2:$E$138,2,))</f>
        <v>中村　健太郎</v>
      </c>
      <c r="D18" s="40" t="s">
        <v>355</v>
      </c>
      <c r="E18" s="40"/>
      <c r="F18" s="40"/>
      <c r="G18" s="40"/>
      <c r="H18" s="40"/>
      <c r="I18" s="55"/>
      <c r="J18" s="41" t="s">
        <v>350</v>
      </c>
      <c r="K18" s="42"/>
      <c r="L18" s="43" t="s">
        <v>350</v>
      </c>
      <c r="M18" s="42"/>
      <c r="N18" s="43" t="s">
        <v>350</v>
      </c>
      <c r="O18" s="44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155</v>
      </c>
      <c r="C19" s="27" t="str">
        <f>IF(B19="","",VLOOKUP(B19,設定シート!$D$2:$E$138,2,))</f>
        <v>春田　直也</v>
      </c>
      <c r="D19" s="40" t="s">
        <v>356</v>
      </c>
      <c r="E19" s="40"/>
      <c r="F19" s="40"/>
      <c r="G19" s="40"/>
      <c r="H19" s="40"/>
      <c r="I19" s="40"/>
      <c r="J19" s="41" t="s">
        <v>350</v>
      </c>
      <c r="K19" s="42"/>
      <c r="L19" s="43" t="s">
        <v>350</v>
      </c>
      <c r="M19" s="42"/>
      <c r="N19" s="43" t="s">
        <v>350</v>
      </c>
      <c r="O19" s="44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40"/>
      <c r="E20" s="40"/>
      <c r="F20" s="40"/>
      <c r="G20" s="40"/>
      <c r="H20" s="40"/>
      <c r="I20" s="40"/>
      <c r="J20" s="41"/>
      <c r="K20" s="42"/>
      <c r="L20" s="43"/>
      <c r="M20" s="42"/>
      <c r="N20" s="43"/>
      <c r="O20" s="4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40"/>
      <c r="E21" s="40"/>
      <c r="F21" s="40"/>
      <c r="G21" s="40"/>
      <c r="H21" s="40"/>
      <c r="I21" s="40"/>
      <c r="J21" s="41"/>
      <c r="K21" s="42"/>
      <c r="L21" s="43"/>
      <c r="M21" s="42"/>
      <c r="N21" s="43"/>
      <c r="O21" s="44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40"/>
      <c r="E22" s="40"/>
      <c r="F22" s="40"/>
      <c r="G22" s="40"/>
      <c r="H22" s="40"/>
      <c r="I22" s="40"/>
      <c r="J22" s="41"/>
      <c r="K22" s="42"/>
      <c r="L22" s="43"/>
      <c r="M22" s="42"/>
      <c r="N22" s="43"/>
      <c r="O22" s="44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30"/>
      <c r="E23" s="30"/>
      <c r="F23" s="30"/>
      <c r="G23" s="30"/>
      <c r="H23" s="30"/>
      <c r="I23" s="30"/>
      <c r="J23" s="31"/>
      <c r="K23" s="32"/>
      <c r="L23" s="32"/>
      <c r="M23" s="32"/>
      <c r="N23" s="32"/>
      <c r="O23" s="3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B22" sqref="B22"/>
    </sheetView>
  </sheetViews>
  <sheetFormatPr defaultRowHeight="18" x14ac:dyDescent="0.45"/>
  <cols>
    <col min="1" max="1" width="26.09765625" bestFit="1" customWidth="1"/>
    <col min="3" max="4" width="16.19921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2018-02-05T05:53:33Z</dcterms:modified>
</cp:coreProperties>
</file>