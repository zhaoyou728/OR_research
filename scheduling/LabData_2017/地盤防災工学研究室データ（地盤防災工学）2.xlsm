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<sst xmlns="http://schemas.openxmlformats.org/spreadsheetml/2006/main" count="391" uniqueCount="359">
  <si>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</si>
  <si>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</si>
  <si>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</si>
  <si>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</si>
  <si>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</si>
  <si>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</si>
  <si>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</si>
  <si>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</si>
  <si>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</si>
  <si>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</si>
  <si>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</si>
  <si>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</si>
  <si>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</si>
  <si>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</si>
  <si>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</si>
  <si>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</si>
  <si>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</si>
  <si>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</si>
  <si>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</si>
  <si>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</si>
  <si>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</si>
  <si>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</si>
  <si>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</si>
  <si>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</si>
  <si>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</si>
  <si>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</si>
  <si>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</si>
  <si>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</si>
  <si>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</si>
  <si>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</si>
  <si>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</si>
  <si>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</si>
  <si>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</si>
  <si>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</si>
  <si>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</si>
  <si>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</si>
  <si>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</si>
  <si>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</si>
  <si>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</si>
  <si>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</si>
  <si>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</si>
  <si>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</si>
  <si>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</si>
  <si>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</si>
  <si>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</si>
  <si>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</si>
  <si>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</si>
  <si>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</si>
  <si>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</si>
  <si>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</si>
  <si>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</si>
  <si>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</si>
  <si>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</si>
  <si>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</si>
  <si>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</si>
  <si>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</si>
  <si>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</si>
  <si>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</si>
  <si>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</si>
  <si>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</si>
  <si>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</si>
  <si>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</si>
  <si>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</si>
  <si>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</si>
  <si>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</si>
  <si>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</si>
  <si>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</si>
  <si>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</si>
  <si>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</si>
  <si>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</si>
  <si>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</si>
  <si>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</si>
  <si>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</si>
  <si>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</si>
  <si>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</si>
  <si>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</si>
  <si>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</si>
  <si>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</si>
  <si>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</si>
  <si>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</si>
  <si>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</si>
  <si>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</si>
  <si>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</si>
  <si>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</si>
  <si>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</si>
  <si>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</si>
  <si>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</si>
  <si>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</si>
  <si>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</si>
  <si>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</si>
  <si>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</si>
  <si>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</si>
  <si>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</si>
  <si>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</si>
  <si>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</si>
  <si>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</si>
  <si>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</si>
  <si>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</si>
  <si>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</si>
  <si>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</si>
  <si>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</si>
  <si>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</si>
  <si>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</si>
  <si>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</si>
  <si>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</si>
  <si>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</si>
  <si>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</si>
  <si>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</si>
  <si>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</si>
  <si>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</si>
  <si>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</si>
  <si>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</si>
  <si>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</si>
  <si>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</si>
  <si>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</si>
  <si>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</si>
  <si>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</si>
  <si>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</si>
  <si>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</si>
  <si>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</si>
  <si>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</si>
  <si>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</si>
  <si>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</si>
  <si>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</si>
  <si>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</si>
  <si>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</si>
  <si>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</si>
  <si>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</si>
  <si>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</si>
  <si>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</si>
  <si>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</si>
  <si>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</si>
  <si>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</si>
  <si>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</si>
  <si>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</si>
  <si>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</si>
  <si>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</si>
  <si>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</si>
  <si>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</si>
  <si>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</si>
  <si>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</si>
  <si>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</si>
  <si>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</si>
  <si>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</si>
  <si>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</si>
  <si>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</si>
  <si>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</si>
  <si>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</si>
  <si>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</si>
  <si>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</si>
  <si>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</si>
  <si>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</si>
  <si>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</si>
  <si>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</si>
  <si>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</si>
  <si>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</si>
  <si>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</si>
  <si>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</si>
  <si>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</si>
  <si>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</si>
  <si>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</si>
  <si>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</si>
  <si>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</si>
  <si>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</si>
  <si>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</si>
  <si>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</si>
  <si>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</si>
  <si>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</si>
  <si>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</si>
  <si>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</si>
  <si>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</si>
  <si>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</si>
  <si>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</si>
  <si>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</si>
  <si>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</si>
  <si>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</si>
  <si>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</si>
  <si>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</si>
  <si>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</si>
  <si>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</si>
  <si>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</si>
  <si>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</si>
  <si>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</si>
  <si>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</si>
  <si>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</si>
  <si>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</si>
  <si>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</si>
  <si>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</si>
  <si>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</si>
  <si>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</si>
  <si>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</si>
  <si>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</si>
  <si>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</si>
  <si>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</si>
  <si>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</si>
  <si>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</si>
  <si>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</si>
  <si>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</si>
  <si>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</si>
  <si>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</si>
  <si>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</si>
  <si>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</si>
  <si>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</si>
  <si>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</si>
  <si>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</si>
  <si>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</si>
  <si>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</si>
  <si>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</si>
  <si>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</si>
  <si>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</si>
  <si>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</si>
  <si>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</si>
  <si>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</si>
  <si>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</si>
  <si>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</si>
  <si>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</si>
  <si>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</si>
  <si>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</si>
  <si>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</si>
  <si>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</si>
  <si>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</si>
  <si>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</si>
  <si>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</si>
  <si>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</si>
  <si>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</si>
  <si>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</si>
  <si>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</si>
  <si>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</si>
  <si>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</si>
  <si>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</si>
  <si>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</si>
  <si>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</si>
  <si>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</si>
  <si>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</si>
  <si>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</si>
  <si>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</si>
  <si>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</si>
  <si>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</si>
  <si>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</si>
  <si>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</si>
  <si>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</si>
  <si>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</si>
  <si>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</si>
  <si>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</si>
  <si>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</si>
  <si>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</si>
  <si>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</si>
  <si>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</si>
  <si>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</si>
  <si>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</si>
  <si>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</si>
  <si>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</si>
  <si>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</si>
  <si>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</si>
  <si>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</si>
  <si>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</si>
  <si>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</si>
  <si>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</si>
  <si>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</si>
  <si>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</si>
  <si>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</si>
  <si>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</si>
  <si>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</si>
  <si>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</si>
  <si>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</si>
  <si>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</si>
  <si>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</si>
  <si>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</si>
  <si>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</si>
  <si>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</si>
  <si>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</si>
  <si>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</si>
  <si>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</si>
  <si>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</si>
  <si>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</si>
  <si>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</si>
  <si>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</si>
  <si>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</si>
  <si>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</si>
  <si>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</si>
  <si>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</si>
  <si>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</si>
  <si>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</si>
  <si>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</si>
  <si>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</si>
  <si>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</si>
  <si>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</si>
  <si>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</si>
  <si>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</si>
  <si>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</si>
  <si>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</si>
  <si>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</si>
  <si>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</si>
  <si>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</si>
  <si>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</si>
  <si>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</si>
  <si>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</si>
  <si>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</si>
  <si>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</si>
  <si>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</si>
  <si>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</si>
  <si>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</si>
  <si>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</si>
  <si>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</si>
  <si>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</si>
  <si>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</si>
  <si>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</si>
  <si>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</si>
  <si>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</si>
  <si>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</si>
  <si>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</si>
  <si>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</si>
  <si>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</si>
  <si>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</si>
  <si>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</si>
  <si>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</si>
  <si>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</si>
  <si>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</si>
  <si>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</si>
  <si>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</si>
  <si>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</si>
  <si>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</si>
  <si>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</si>
  <si>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</si>
  <si>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</si>
  <si>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</si>
  <si>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</si>
  <si>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</si>
  <si>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</si>
  <si>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</si>
  <si>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</si>
  <si>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</si>
  <si>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</si>
  <si>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</si>
  <si>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</si>
  <si>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</si>
  <si>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</si>
  <si>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</si>
  <si>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</si>
  <si>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</si>
  <si>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</si>
  <si>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</si>
  <si>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</si>
  <si>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</si>
  <si>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</si>
  <si>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</si>
  <si>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</si>
  <si>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</si>
  <si>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</si>
  <si>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</si>
  <si>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地盤防災工学</t>
  </si>
  <si>
    <t>拡抵抗の引き抜き抵抗⼒推定のための遠⼼模型実験</t>
    <phoneticPr fontId="1"/>
  </si>
  <si>
    <t>液状化による側⽅流動に対する遠⼼実験と数値解析</t>
    <phoneticPr fontId="1"/>
  </si>
  <si>
    <t>地震動の即時解析法の構築に向けた⾮線形解析法の精度検証</t>
    <phoneticPr fontId="1"/>
  </si>
  <si>
    <t>遠⼼模型実験による軟弱地盤・液状化対策としてのPFS⼯法の有効性に関する研究</t>
    <phoneticPr fontId="1"/>
  </si>
  <si>
    <t>液状化地盤におけるPFS⼯法の適⽤性に関する2次元有効応⼒解析</t>
    <phoneticPr fontId="1"/>
  </si>
  <si>
    <t>可</t>
  </si>
  <si>
    <t>液状化時の噴砂に伴う沈下量の推定に関する実験的研究</t>
    <rPh sb="3" eb="4">
      <t>ジ</t>
    </rPh>
    <rPh sb="5" eb="7">
      <t>フンサ</t>
    </rPh>
    <rPh sb="8" eb="9">
      <t>トモナ</t>
    </rPh>
    <rPh sb="10" eb="12">
      <t>チンカ</t>
    </rPh>
    <phoneticPr fontId="1"/>
  </si>
  <si>
    <t>不可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</si>
</sst>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zoomScale="80" zoomScaleNormal="80" workbookViewId="0">
      <selection activeCell="N28" sqref="N28"/>
    </sheetView>
  </sheetViews>
  <sheetFormatPr defaultColWidth="12.69921875" defaultRowHeight="18" x14ac:dyDescent="0.45"/>
  <cols>
    <col min="1" max="1" width="6.69921875" customWidth="1"/>
    <col min="2" max="2" width="11.09765625" bestFit="1" customWidth="1"/>
    <col min="3" max="3" width="11" bestFit="1" customWidth="1"/>
    <col min="4" max="17" width="6.69921875" customWidth="1"/>
    <col min="18" max="18" width="12.0976562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3" t="s">
        <v>344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34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69" t="s">
        <v>350</v>
      </c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1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5</v>
      </c>
      <c r="D5" s="8"/>
      <c r="E5" s="8"/>
      <c r="F5" s="33" t="s">
        <v>346</v>
      </c>
      <c r="G5" s="49"/>
      <c r="H5" s="49"/>
      <c r="I5" s="49"/>
      <c r="J5" s="49"/>
      <c r="K5" s="49"/>
      <c r="L5" s="49"/>
      <c r="M5" s="34"/>
      <c r="N5" s="2"/>
      <c r="O5" s="2"/>
      <c r="P5" s="2"/>
      <c r="Q5" s="30" t="s">
        <v>349</v>
      </c>
      <c r="R5" s="30"/>
      <c r="S5" s="30"/>
      <c r="T5" s="30"/>
      <c r="U5" s="30"/>
      <c r="V5" s="30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3" t="s">
        <v>7</v>
      </c>
      <c r="G6" s="34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30"/>
      <c r="R6" s="30"/>
      <c r="S6" s="30"/>
      <c r="T6" s="30"/>
      <c r="U6" s="30"/>
      <c r="V6" s="30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72" t="s">
        <v>9</v>
      </c>
      <c r="G7" s="73"/>
      <c r="H7" s="74" t="s">
        <v>10</v>
      </c>
      <c r="I7" s="75"/>
      <c r="J7" s="75"/>
      <c r="K7" s="76"/>
      <c r="L7" s="77" t="s">
        <v>11</v>
      </c>
      <c r="M7" s="78"/>
      <c r="N7" s="2"/>
      <c r="O7" s="2"/>
      <c r="P7" s="2"/>
      <c r="Q7" s="30"/>
      <c r="R7" s="30"/>
      <c r="S7" s="30"/>
      <c r="T7" s="30"/>
      <c r="U7" s="30"/>
      <c r="V7" s="30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51</v>
      </c>
      <c r="D8" s="2"/>
      <c r="E8" s="4"/>
      <c r="F8" s="31" t="s">
        <v>8</v>
      </c>
      <c r="G8" s="32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30"/>
      <c r="R8" s="30"/>
      <c r="S8" s="30"/>
      <c r="T8" s="30"/>
      <c r="U8" s="30"/>
      <c r="V8" s="30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3" t="s">
        <v>14</v>
      </c>
      <c r="G9" s="34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30"/>
      <c r="R9" s="30"/>
      <c r="S9" s="30"/>
      <c r="T9" s="30"/>
      <c r="U9" s="30"/>
      <c r="V9" s="30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30"/>
      <c r="R10" s="30"/>
      <c r="S10" s="30"/>
      <c r="T10" s="30"/>
      <c r="U10" s="30"/>
      <c r="V10" s="30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3" t="s">
        <v>16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34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50" t="s">
        <v>347</v>
      </c>
      <c r="C12" s="52" t="s">
        <v>17</v>
      </c>
      <c r="D12" s="35" t="s">
        <v>19</v>
      </c>
      <c r="E12" s="36"/>
      <c r="F12" s="36"/>
      <c r="G12" s="36"/>
      <c r="H12" s="36"/>
      <c r="I12" s="37"/>
      <c r="J12" s="41" t="s">
        <v>348</v>
      </c>
      <c r="K12" s="36"/>
      <c r="L12" s="36"/>
      <c r="M12" s="36"/>
      <c r="N12" s="42"/>
      <c r="O12" s="43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51"/>
      <c r="C13" s="53"/>
      <c r="D13" s="38"/>
      <c r="E13" s="39"/>
      <c r="F13" s="39"/>
      <c r="G13" s="39"/>
      <c r="H13" s="39"/>
      <c r="I13" s="40"/>
      <c r="J13" s="45" t="s">
        <v>20</v>
      </c>
      <c r="K13" s="46"/>
      <c r="L13" s="44" t="s">
        <v>22</v>
      </c>
      <c r="M13" s="44"/>
      <c r="N13" s="47" t="s">
        <v>21</v>
      </c>
      <c r="O13" s="48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100</v>
      </c>
      <c r="C14" s="26" t="str">
        <f>IF(B14="","",VLOOKUP(B14,設定シート!$D$2:$E$138,2,))</f>
        <v>大橋　達也</v>
      </c>
      <c r="D14" s="58" t="s">
        <v>351</v>
      </c>
      <c r="E14" s="58"/>
      <c r="F14" s="58"/>
      <c r="G14" s="58"/>
      <c r="H14" s="58"/>
      <c r="I14" s="58"/>
      <c r="J14" s="59" t="s">
        <v>356</v>
      </c>
      <c r="K14" s="60"/>
      <c r="L14" s="63" t="s">
        <v>356</v>
      </c>
      <c r="M14" s="79"/>
      <c r="N14" s="63" t="s">
        <v>358</v>
      </c>
      <c r="O14" s="6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105</v>
      </c>
      <c r="C15" s="27" t="str">
        <f>IF(B15="","",VLOOKUP(B15,設定シート!$D$2:$E$138,2,))</f>
        <v>吉村　祐哉</v>
      </c>
      <c r="D15" s="56" t="s">
        <v>357</v>
      </c>
      <c r="E15" s="56"/>
      <c r="F15" s="56"/>
      <c r="G15" s="56"/>
      <c r="H15" s="56"/>
      <c r="I15" s="57"/>
      <c r="J15" s="54" t="s">
        <v>356</v>
      </c>
      <c r="K15" s="55"/>
      <c r="L15" s="61" t="s">
        <v>356</v>
      </c>
      <c r="M15" s="55"/>
      <c r="N15" s="61" t="s">
        <v>356</v>
      </c>
      <c r="O15" s="6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104</v>
      </c>
      <c r="C16" s="27" t="str">
        <f>IF(B16="","",VLOOKUP(B16,設定シート!$D$2:$E$138,2,))</f>
        <v>八次　輝</v>
      </c>
      <c r="D16" s="56" t="s">
        <v>352</v>
      </c>
      <c r="E16" s="56"/>
      <c r="F16" s="56"/>
      <c r="G16" s="56"/>
      <c r="H16" s="56"/>
      <c r="I16" s="57"/>
      <c r="J16" s="54" t="s">
        <v>356</v>
      </c>
      <c r="K16" s="55"/>
      <c r="L16" s="61" t="s">
        <v>356</v>
      </c>
      <c r="M16" s="55"/>
      <c r="N16" s="61" t="s">
        <v>356</v>
      </c>
      <c r="O16" s="6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101</v>
      </c>
      <c r="C17" s="27" t="str">
        <f>IF(B17="","",VLOOKUP(B17,設定シート!$D$2:$E$138,2,))</f>
        <v>清水　佑樹</v>
      </c>
      <c r="D17" s="56" t="s">
        <v>353</v>
      </c>
      <c r="E17" s="56"/>
      <c r="F17" s="56"/>
      <c r="G17" s="56"/>
      <c r="H17" s="56"/>
      <c r="I17" s="56"/>
      <c r="J17" s="54" t="s">
        <v>356</v>
      </c>
      <c r="K17" s="55"/>
      <c r="L17" s="61" t="s">
        <v>356</v>
      </c>
      <c r="M17" s="55"/>
      <c r="N17" s="61" t="s">
        <v>356</v>
      </c>
      <c r="O17" s="6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102</v>
      </c>
      <c r="C18" s="27" t="str">
        <f>IF(B18="","",VLOOKUP(B18,設定シート!$D$2:$E$138,2,))</f>
        <v>武藤　昇真</v>
      </c>
      <c r="D18" s="56" t="s">
        <v>354</v>
      </c>
      <c r="E18" s="56"/>
      <c r="F18" s="56"/>
      <c r="G18" s="56"/>
      <c r="H18" s="56"/>
      <c r="I18" s="57"/>
      <c r="J18" s="54" t="s">
        <v>356</v>
      </c>
      <c r="K18" s="55"/>
      <c r="L18" s="61" t="s">
        <v>356</v>
      </c>
      <c r="M18" s="55"/>
      <c r="N18" s="61" t="s">
        <v>356</v>
      </c>
      <c r="O18" s="6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103</v>
      </c>
      <c r="C19" s="27" t="str">
        <f>IF(B19="","",VLOOKUP(B19,設定シート!$D$2:$E$138,2,))</f>
        <v>村石　修平</v>
      </c>
      <c r="D19" s="56" t="s">
        <v>355</v>
      </c>
      <c r="E19" s="56"/>
      <c r="F19" s="56"/>
      <c r="G19" s="56"/>
      <c r="H19" s="56"/>
      <c r="I19" s="56"/>
      <c r="J19" s="54" t="s">
        <v>356</v>
      </c>
      <c r="K19" s="55"/>
      <c r="L19" s="61" t="s">
        <v>356</v>
      </c>
      <c r="M19" s="55"/>
      <c r="N19" s="61" t="s">
        <v>356</v>
      </c>
      <c r="O19" s="6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56"/>
      <c r="E20" s="56"/>
      <c r="F20" s="56"/>
      <c r="G20" s="56"/>
      <c r="H20" s="56"/>
      <c r="I20" s="56"/>
      <c r="J20" s="54"/>
      <c r="K20" s="55"/>
      <c r="L20" s="61"/>
      <c r="M20" s="55"/>
      <c r="N20" s="61"/>
      <c r="O20" s="6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56"/>
      <c r="E21" s="56"/>
      <c r="F21" s="56"/>
      <c r="G21" s="56"/>
      <c r="H21" s="56"/>
      <c r="I21" s="56"/>
      <c r="J21" s="54"/>
      <c r="K21" s="55"/>
      <c r="L21" s="61"/>
      <c r="M21" s="55"/>
      <c r="N21" s="61"/>
      <c r="O21" s="6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56"/>
      <c r="E22" s="56"/>
      <c r="F22" s="56"/>
      <c r="G22" s="56"/>
      <c r="H22" s="56"/>
      <c r="I22" s="56"/>
      <c r="J22" s="54"/>
      <c r="K22" s="55"/>
      <c r="L22" s="61"/>
      <c r="M22" s="55"/>
      <c r="N22" s="61"/>
      <c r="O22" s="6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65"/>
      <c r="E23" s="65"/>
      <c r="F23" s="65"/>
      <c r="G23" s="65"/>
      <c r="H23" s="65"/>
      <c r="I23" s="65"/>
      <c r="J23" s="66"/>
      <c r="K23" s="67"/>
      <c r="L23" s="67"/>
      <c r="M23" s="67"/>
      <c r="N23" s="67"/>
      <c r="O23" s="68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296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2018-02-05T05:55:46Z</dcterms:modified>
</cp:coreProperties>
</file>