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<sst xmlns="http://schemas.openxmlformats.org/spreadsheetml/2006/main" count="391" uniqueCount="357">
  <si>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</si>
  <si>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</si>
  <si>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</si>
  <si>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</si>
  <si>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</si>
  <si>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</si>
  <si>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</si>
  <si>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</si>
  <si>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</si>
  <si>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</si>
  <si>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</si>
  <si>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</si>
  <si>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</si>
  <si>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</si>
  <si>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</si>
  <si>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</si>
  <si>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</si>
  <si>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</si>
  <si>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</si>
  <si>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</si>
  <si>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</si>
  <si>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</si>
  <si>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</si>
  <si>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</si>
  <si>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</si>
  <si>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</si>
  <si>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</si>
  <si>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</si>
  <si>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</si>
  <si>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</si>
  <si>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</si>
  <si>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</si>
  <si>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</si>
  <si>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</si>
  <si>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</si>
  <si>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</si>
  <si>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</si>
  <si>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</si>
  <si>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</si>
  <si>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</si>
  <si>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</si>
  <si>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</si>
  <si>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</si>
  <si>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</si>
  <si>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</si>
  <si>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</si>
  <si>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</si>
  <si>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</si>
  <si>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</si>
  <si>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</si>
  <si>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</si>
  <si>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</si>
  <si>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</si>
  <si>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</si>
  <si>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</si>
  <si>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</si>
  <si>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</si>
  <si>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</si>
  <si>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</si>
  <si>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</si>
  <si>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</si>
  <si>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</si>
  <si>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</si>
  <si>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</si>
  <si>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</si>
  <si>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</si>
  <si>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</si>
  <si>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</si>
  <si>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</si>
  <si>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</si>
  <si>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</si>
  <si>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</si>
  <si>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</si>
  <si>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</si>
  <si>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</si>
  <si>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</si>
  <si>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</si>
  <si>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</si>
  <si>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</si>
  <si>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</si>
  <si>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</si>
  <si>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</si>
  <si>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</si>
  <si>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</si>
  <si>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</si>
  <si>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</si>
  <si>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</si>
  <si>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</si>
  <si>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</si>
  <si>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</si>
  <si>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</si>
  <si>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</si>
  <si>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</si>
  <si>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</si>
  <si>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</si>
  <si>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</si>
  <si>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</si>
  <si>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</si>
  <si>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</si>
  <si>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</si>
  <si>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</si>
  <si>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</si>
  <si>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</si>
  <si>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</si>
  <si>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</si>
  <si>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</si>
  <si>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</si>
  <si>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</si>
  <si>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</si>
  <si>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</si>
  <si>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</si>
  <si>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</si>
  <si>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</si>
  <si>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</si>
  <si>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</si>
  <si>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</si>
  <si>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</si>
  <si>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</si>
  <si>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</si>
  <si>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</si>
  <si>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</si>
  <si>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</si>
  <si>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</si>
  <si>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</si>
  <si>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</si>
  <si>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</si>
  <si>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</si>
  <si>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</si>
  <si>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</si>
  <si>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</si>
  <si>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</si>
  <si>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</si>
  <si>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</si>
  <si>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</si>
  <si>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</si>
  <si>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</si>
  <si>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</si>
  <si>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</si>
  <si>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</si>
  <si>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</si>
  <si>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</si>
  <si>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</si>
  <si>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</si>
  <si>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</si>
  <si>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</si>
  <si>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</si>
  <si>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</si>
  <si>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</si>
  <si>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</si>
  <si>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</si>
  <si>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</si>
  <si>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</si>
  <si>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</si>
  <si>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</si>
  <si>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</si>
  <si>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</si>
  <si>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</si>
  <si>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</si>
  <si>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</si>
  <si>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</si>
  <si>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</si>
  <si>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</si>
  <si>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</si>
  <si>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</si>
  <si>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</si>
  <si>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</si>
  <si>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</si>
  <si>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</si>
  <si>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</si>
  <si>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</si>
  <si>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</si>
  <si>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</si>
  <si>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</si>
  <si>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</si>
  <si>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</si>
  <si>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</si>
  <si>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</si>
  <si>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</si>
  <si>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</si>
  <si>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</si>
  <si>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</si>
  <si>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</si>
  <si>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</si>
  <si>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</si>
  <si>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</si>
  <si>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</si>
  <si>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</si>
  <si>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</si>
  <si>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</si>
  <si>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</si>
  <si>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</si>
  <si>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</si>
  <si>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</si>
  <si>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</si>
  <si>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</si>
  <si>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</si>
  <si>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</si>
  <si>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</si>
  <si>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</si>
  <si>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</si>
  <si>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</si>
  <si>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</si>
  <si>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</si>
  <si>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</si>
  <si>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</si>
  <si>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</si>
  <si>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</si>
  <si>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</si>
  <si>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</si>
  <si>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</si>
  <si>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</si>
  <si>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</si>
  <si>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</si>
  <si>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</si>
  <si>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</si>
  <si>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</si>
  <si>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</si>
  <si>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</si>
  <si>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</si>
  <si>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</si>
  <si>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</si>
  <si>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</si>
  <si>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</si>
  <si>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</si>
  <si>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</si>
  <si>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</si>
  <si>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</si>
  <si>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</si>
  <si>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</si>
  <si>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</si>
  <si>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</si>
  <si>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</si>
  <si>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</si>
  <si>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</si>
  <si>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</si>
  <si>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</si>
  <si>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</si>
  <si>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</si>
  <si>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</si>
  <si>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</si>
  <si>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</si>
  <si>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</si>
  <si>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</si>
  <si>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</si>
  <si>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</si>
  <si>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</si>
  <si>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</si>
  <si>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</si>
  <si>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</si>
  <si>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</si>
  <si>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</si>
  <si>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</si>
  <si>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</si>
  <si>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</si>
  <si>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</si>
  <si>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</si>
  <si>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</si>
  <si>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</si>
  <si>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</si>
  <si>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</si>
  <si>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</si>
  <si>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</si>
  <si>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</si>
  <si>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</si>
  <si>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</si>
  <si>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</si>
  <si>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</si>
  <si>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</si>
  <si>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</si>
  <si>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</si>
  <si>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</si>
  <si>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</si>
  <si>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</si>
  <si>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</si>
  <si>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</si>
  <si>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</si>
  <si>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</si>
  <si>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</si>
  <si>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</si>
  <si>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</si>
  <si>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</si>
  <si>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</si>
  <si>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</si>
  <si>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</si>
  <si>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</si>
  <si>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</si>
  <si>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</si>
  <si>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</si>
  <si>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</si>
  <si>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</si>
  <si>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</si>
  <si>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</si>
  <si>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</si>
  <si>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</si>
  <si>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</si>
  <si>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</si>
  <si>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</si>
  <si>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</si>
  <si>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</si>
  <si>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</si>
  <si>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</si>
  <si>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</si>
  <si>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</si>
  <si>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</si>
  <si>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</si>
  <si>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</si>
  <si>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</si>
  <si>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</si>
  <si>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</si>
  <si>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</si>
  <si>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</si>
  <si>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</si>
  <si>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</si>
  <si>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</si>
  <si>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</si>
  <si>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</si>
  <si>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</si>
  <si>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</si>
  <si>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</si>
  <si>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</si>
  <si>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</si>
  <si>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</si>
  <si>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</si>
  <si>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</si>
  <si>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</si>
  <si>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</si>
  <si>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</si>
  <si>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</si>
  <si>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</si>
  <si>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</si>
  <si>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</si>
  <si>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</si>
  <si>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</si>
  <si>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</si>
  <si>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</si>
  <si>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</si>
  <si>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</si>
  <si>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</si>
  <si>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</si>
  <si>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</si>
  <si>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</si>
  <si>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</si>
  <si>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</si>
  <si>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</si>
  <si>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</si>
  <si>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</si>
  <si>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</si>
  <si>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</si>
  <si>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</si>
  <si>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</si>
  <si>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石津川流域における外水氾濫と安全避難の検討</t>
    <rPh sb="0" eb="2">
      <t>イシズ</t>
    </rPh>
    <rPh sb="2" eb="3">
      <t>ガワ</t>
    </rPh>
    <rPh sb="3" eb="5">
      <t>リュウイキ</t>
    </rPh>
    <rPh sb="9" eb="10">
      <t>ガイ</t>
    </rPh>
    <rPh sb="10" eb="11">
      <t>スイ</t>
    </rPh>
    <rPh sb="11" eb="13">
      <t>ハンラン</t>
    </rPh>
    <rPh sb="14" eb="16">
      <t>アンゼン</t>
    </rPh>
    <rPh sb="16" eb="18">
      <t>ヒナン</t>
    </rPh>
    <rPh sb="19" eb="21">
      <t>ケントウ</t>
    </rPh>
    <phoneticPr fontId="1"/>
  </si>
  <si>
    <t>津波氾濫時の地下鉄ホームからの車椅子避難に関する検討</t>
    <rPh sb="0" eb="2">
      <t>ツナミ</t>
    </rPh>
    <rPh sb="2" eb="4">
      <t>ハンラン</t>
    </rPh>
    <rPh sb="4" eb="5">
      <t>ジ</t>
    </rPh>
    <rPh sb="6" eb="9">
      <t>チカテツ</t>
    </rPh>
    <rPh sb="15" eb="16">
      <t>クルマ</t>
    </rPh>
    <rPh sb="16" eb="18">
      <t>イス</t>
    </rPh>
    <rPh sb="18" eb="20">
      <t>ヒナン</t>
    </rPh>
    <rPh sb="21" eb="22">
      <t>カン</t>
    </rPh>
    <rPh sb="24" eb="26">
      <t>ケントウ</t>
    </rPh>
    <phoneticPr fontId="1"/>
  </si>
  <si>
    <t>内水氾濫時における地下空間の浸水危険度評価とその対策に関する検討</t>
    <rPh sb="0" eb="1">
      <t>ナイ</t>
    </rPh>
    <rPh sb="1" eb="2">
      <t>スイ</t>
    </rPh>
    <rPh sb="2" eb="4">
      <t>ハンラン</t>
    </rPh>
    <rPh sb="4" eb="5">
      <t>ジ</t>
    </rPh>
    <rPh sb="9" eb="11">
      <t>チカ</t>
    </rPh>
    <rPh sb="11" eb="13">
      <t>クウカン</t>
    </rPh>
    <rPh sb="14" eb="16">
      <t>シンスイ</t>
    </rPh>
    <rPh sb="16" eb="19">
      <t>キケンド</t>
    </rPh>
    <rPh sb="19" eb="21">
      <t>ヒョウカ</t>
    </rPh>
    <rPh sb="24" eb="26">
      <t>タイサク</t>
    </rPh>
    <rPh sb="27" eb="28">
      <t>カン</t>
    </rPh>
    <rPh sb="30" eb="32">
      <t>ケントウ</t>
    </rPh>
    <phoneticPr fontId="1"/>
  </si>
  <si>
    <t>白浜町の小学生を対象とした防災教育と保護者の防災意識調査</t>
    <rPh sb="0" eb="2">
      <t>シラハマ</t>
    </rPh>
    <rPh sb="2" eb="3">
      <t>マチ</t>
    </rPh>
    <rPh sb="4" eb="7">
      <t>ショウガクセイ</t>
    </rPh>
    <rPh sb="8" eb="10">
      <t>タイショウ</t>
    </rPh>
    <rPh sb="13" eb="15">
      <t>ボウサイ</t>
    </rPh>
    <rPh sb="15" eb="17">
      <t>キョウイク</t>
    </rPh>
    <rPh sb="18" eb="21">
      <t>ホゴシャ</t>
    </rPh>
    <rPh sb="22" eb="24">
      <t>ボウサイ</t>
    </rPh>
    <rPh sb="24" eb="26">
      <t>イシキ</t>
    </rPh>
    <rPh sb="26" eb="28">
      <t>チョウサ</t>
    </rPh>
    <phoneticPr fontId="1"/>
  </si>
  <si>
    <t>非定常流中の漂流車に働く流体力に関する検討</t>
    <rPh sb="0" eb="3">
      <t>ヒテイジョウ</t>
    </rPh>
    <rPh sb="3" eb="4">
      <t>リュウ</t>
    </rPh>
    <rPh sb="4" eb="5">
      <t>チュウ</t>
    </rPh>
    <rPh sb="6" eb="8">
      <t>ヒョウリュウ</t>
    </rPh>
    <rPh sb="8" eb="9">
      <t>シャ</t>
    </rPh>
    <rPh sb="10" eb="11">
      <t>ハタラ</t>
    </rPh>
    <rPh sb="12" eb="13">
      <t>リュウ</t>
    </rPh>
    <rPh sb="13" eb="15">
      <t>タイリョク</t>
    </rPh>
    <rPh sb="16" eb="17">
      <t>カン</t>
    </rPh>
    <rPh sb="19" eb="21">
      <t>ケントウ</t>
    </rPh>
    <phoneticPr fontId="1"/>
  </si>
  <si>
    <t>大阪市内の小学校の浸水脆弱性と水災害防災教育</t>
    <rPh sb="0" eb="2">
      <t>オオサカ</t>
    </rPh>
    <rPh sb="2" eb="4">
      <t>シナイ</t>
    </rPh>
    <rPh sb="5" eb="8">
      <t>ショウガッコウ</t>
    </rPh>
    <rPh sb="9" eb="11">
      <t>シンスイ</t>
    </rPh>
    <rPh sb="11" eb="14">
      <t>ゼイジャクセイ</t>
    </rPh>
    <rPh sb="15" eb="16">
      <t>ミズ</t>
    </rPh>
    <rPh sb="16" eb="18">
      <t>サイガイ</t>
    </rPh>
    <rPh sb="18" eb="20">
      <t>ボウサイ</t>
    </rPh>
    <rPh sb="20" eb="22">
      <t>キョウイク</t>
    </rPh>
    <phoneticPr fontId="1"/>
  </si>
  <si>
    <t>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</si>
</sst>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R17" sqref="R17"/>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4" t="s">
        <v>344</v>
      </c>
      <c r="C2" s="35"/>
      <c r="D2" s="35"/>
      <c r="E2" s="35"/>
      <c r="F2" s="35"/>
      <c r="G2" s="35"/>
      <c r="H2" s="35"/>
      <c r="I2" s="35"/>
      <c r="J2" s="35"/>
      <c r="K2" s="35"/>
      <c r="L2" s="35"/>
      <c r="M2" s="35"/>
      <c r="N2" s="35"/>
      <c r="O2" s="36"/>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7" t="s">
        <v>28</v>
      </c>
      <c r="C3" s="38"/>
      <c r="D3" s="38"/>
      <c r="E3" s="38"/>
      <c r="F3" s="38"/>
      <c r="G3" s="38"/>
      <c r="H3" s="38"/>
      <c r="I3" s="38"/>
      <c r="J3" s="38"/>
      <c r="K3" s="38"/>
      <c r="L3" s="38"/>
      <c r="M3" s="38"/>
      <c r="N3" s="38"/>
      <c r="O3" s="39"/>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2</v>
      </c>
      <c r="D5" s="8"/>
      <c r="E5" s="8"/>
      <c r="F5" s="34" t="s">
        <v>346</v>
      </c>
      <c r="G5" s="35"/>
      <c r="H5" s="35"/>
      <c r="I5" s="35"/>
      <c r="J5" s="35"/>
      <c r="K5" s="35"/>
      <c r="L5" s="35"/>
      <c r="M5" s="36"/>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4" t="s">
        <v>7</v>
      </c>
      <c r="G6" s="36"/>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5" t="s">
        <v>9</v>
      </c>
      <c r="G7" s="46"/>
      <c r="H7" s="47" t="s">
        <v>10</v>
      </c>
      <c r="I7" s="48"/>
      <c r="J7" s="48"/>
      <c r="K7" s="49"/>
      <c r="L7" s="50" t="s">
        <v>11</v>
      </c>
      <c r="M7" s="51"/>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47</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4" t="s">
        <v>14</v>
      </c>
      <c r="G9" s="36"/>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4" t="s">
        <v>16</v>
      </c>
      <c r="C11" s="35"/>
      <c r="D11" s="35"/>
      <c r="E11" s="35"/>
      <c r="F11" s="35"/>
      <c r="G11" s="35"/>
      <c r="H11" s="35"/>
      <c r="I11" s="35"/>
      <c r="J11" s="35"/>
      <c r="K11" s="35"/>
      <c r="L11" s="35"/>
      <c r="M11" s="35"/>
      <c r="N11" s="35"/>
      <c r="O11" s="36"/>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81</v>
      </c>
      <c r="C14" s="26" t="str">
        <f>IF(B14="","",VLOOKUP(B14,設定シート!$D$2:$E$138,2,))</f>
        <v>石橋　直樹</v>
      </c>
      <c r="D14" s="56" t="s">
        <v>350</v>
      </c>
      <c r="E14" s="56"/>
      <c r="F14" s="56"/>
      <c r="G14" s="56"/>
      <c r="H14" s="56"/>
      <c r="I14" s="56"/>
      <c r="J14" s="57" t="s">
        <v>356</v>
      </c>
      <c r="K14" s="58"/>
      <c r="L14" s="52" t="s">
        <v>356</v>
      </c>
      <c r="M14" s="53"/>
      <c r="N14" s="52" t="s">
        <v>356</v>
      </c>
      <c r="O14" s="5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ht="18.600000000000001" thickBot="1" x14ac:dyDescent="0.5">
      <c r="A15" s="2"/>
      <c r="B15" s="25" t="s">
        <v>82</v>
      </c>
      <c r="C15" s="27" t="str">
        <f>IF(B15="","",VLOOKUP(B15,設定シート!$D$2:$E$138,2,))</f>
        <v>稲葉　成俊</v>
      </c>
      <c r="D15" s="40" t="s">
        <v>351</v>
      </c>
      <c r="E15" s="40"/>
      <c r="F15" s="40"/>
      <c r="G15" s="40"/>
      <c r="H15" s="40"/>
      <c r="I15" s="55"/>
      <c r="J15" s="41" t="s">
        <v>356</v>
      </c>
      <c r="K15" s="42"/>
      <c r="L15" s="43" t="s">
        <v>356</v>
      </c>
      <c r="M15" s="42"/>
      <c r="N15" s="43" t="s">
        <v>356</v>
      </c>
      <c r="O15" s="44"/>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ht="18.600000000000001" thickBot="1" x14ac:dyDescent="0.5">
      <c r="A16" s="2"/>
      <c r="B16" s="25" t="s">
        <v>83</v>
      </c>
      <c r="C16" s="27" t="str">
        <f>IF(B16="","",VLOOKUP(B16,設定シート!$D$2:$E$138,2,))</f>
        <v>太田　和樹</v>
      </c>
      <c r="D16" s="40" t="s">
        <v>352</v>
      </c>
      <c r="E16" s="40"/>
      <c r="F16" s="40"/>
      <c r="G16" s="40"/>
      <c r="H16" s="40"/>
      <c r="I16" s="55"/>
      <c r="J16" s="41" t="s">
        <v>356</v>
      </c>
      <c r="K16" s="42"/>
      <c r="L16" s="52" t="s">
        <v>356</v>
      </c>
      <c r="M16" s="53"/>
      <c r="N16" s="52" t="s">
        <v>356</v>
      </c>
      <c r="O16" s="54"/>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ht="18.600000000000001" thickBot="1" x14ac:dyDescent="0.5">
      <c r="A17" s="2"/>
      <c r="B17" s="25" t="s">
        <v>84</v>
      </c>
      <c r="C17" s="27" t="str">
        <f>IF(B17="","",VLOOKUP(B17,設定シート!$D$2:$E$138,2,))</f>
        <v>小田　裕矢</v>
      </c>
      <c r="D17" s="40" t="s">
        <v>353</v>
      </c>
      <c r="E17" s="40"/>
      <c r="F17" s="40"/>
      <c r="G17" s="40"/>
      <c r="H17" s="40"/>
      <c r="I17" s="40"/>
      <c r="J17" s="57" t="s">
        <v>356</v>
      </c>
      <c r="K17" s="58"/>
      <c r="L17" s="43" t="s">
        <v>356</v>
      </c>
      <c r="M17" s="42"/>
      <c r="N17" s="43" t="s">
        <v>356</v>
      </c>
      <c r="O17" s="44"/>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85</v>
      </c>
      <c r="C18" s="27" t="str">
        <f>IF(B18="","",VLOOKUP(B18,設定シート!$D$2:$E$138,2,))</f>
        <v>隅田　聖也</v>
      </c>
      <c r="D18" s="40" t="s">
        <v>354</v>
      </c>
      <c r="E18" s="40"/>
      <c r="F18" s="40"/>
      <c r="G18" s="40"/>
      <c r="H18" s="40"/>
      <c r="I18" s="55"/>
      <c r="J18" s="41" t="s">
        <v>356</v>
      </c>
      <c r="K18" s="42"/>
      <c r="L18" s="52" t="s">
        <v>356</v>
      </c>
      <c r="M18" s="53"/>
      <c r="N18" s="52" t="s">
        <v>356</v>
      </c>
      <c r="O18" s="54"/>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86</v>
      </c>
      <c r="C19" s="27" t="str">
        <f>IF(B19="","",VLOOKUP(B19,設定シート!$D$2:$E$138,2,))</f>
        <v>横井　海星</v>
      </c>
      <c r="D19" s="40" t="s">
        <v>355</v>
      </c>
      <c r="E19" s="40"/>
      <c r="F19" s="40"/>
      <c r="G19" s="40"/>
      <c r="H19" s="40"/>
      <c r="I19" s="40"/>
      <c r="J19" s="41" t="s">
        <v>356</v>
      </c>
      <c r="K19" s="42"/>
      <c r="L19" s="43" t="s">
        <v>356</v>
      </c>
      <c r="M19" s="42"/>
      <c r="N19" s="43" t="s">
        <v>356</v>
      </c>
      <c r="O19" s="44"/>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c r="C20" s="27" t="str">
        <f>IF(B20="","",VLOOKUP(B20,設定シート!$D$2:$E$138,2,))</f>
        <v/>
      </c>
      <c r="D20" s="40"/>
      <c r="E20" s="40"/>
      <c r="F20" s="40"/>
      <c r="G20" s="40"/>
      <c r="H20" s="40"/>
      <c r="I20" s="40"/>
      <c r="J20" s="41"/>
      <c r="K20" s="42"/>
      <c r="L20" s="43"/>
      <c r="M20" s="42"/>
      <c r="N20" s="43"/>
      <c r="O20" s="44"/>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40"/>
      <c r="E21" s="40"/>
      <c r="F21" s="40"/>
      <c r="G21" s="40"/>
      <c r="H21" s="40"/>
      <c r="I21" s="40"/>
      <c r="J21" s="41"/>
      <c r="K21" s="42"/>
      <c r="L21" s="43"/>
      <c r="M21" s="42"/>
      <c r="N21" s="43"/>
      <c r="O21" s="44"/>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0"/>
      <c r="E22" s="40"/>
      <c r="F22" s="40"/>
      <c r="G22" s="40"/>
      <c r="H22" s="40"/>
      <c r="I22" s="40"/>
      <c r="J22" s="41"/>
      <c r="K22" s="42"/>
      <c r="L22" s="43"/>
      <c r="M22" s="42"/>
      <c r="N22" s="43"/>
      <c r="O22" s="44"/>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c r="K23" s="32"/>
      <c r="L23" s="32"/>
      <c r="M23" s="32"/>
      <c r="N23" s="32"/>
      <c r="O23" s="33"/>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296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2018-02-05T05:53:10Z</dcterms:modified>
</cp:coreProperties>
</file>