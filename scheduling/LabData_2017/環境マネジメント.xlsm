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<sst xmlns="http://schemas.openxmlformats.org/spreadsheetml/2006/main" count="402" uniqueCount="361">
  <si>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</si>
  <si>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</si>
  <si>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</si>
  <si>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</si>
  <si>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</si>
  <si>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</si>
  <si>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</si>
  <si>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</si>
  <si>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</si>
  <si>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</si>
  <si>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</si>
  <si>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</si>
  <si>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</si>
  <si>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</si>
  <si>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</si>
  <si>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</si>
  <si>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</si>
  <si>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</si>
  <si>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</si>
  <si>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</si>
  <si>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</si>
  <si>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</si>
  <si>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</si>
  <si>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</si>
  <si>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</si>
  <si>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</si>
  <si>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</si>
  <si>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</si>
  <si>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</si>
  <si>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</si>
  <si>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</si>
  <si>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</si>
  <si>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</si>
  <si>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</si>
  <si>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</si>
  <si>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</si>
  <si>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</si>
  <si>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</si>
  <si>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</si>
  <si>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</si>
  <si>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</si>
  <si>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</si>
  <si>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</si>
  <si>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</si>
  <si>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</si>
  <si>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</si>
  <si>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</si>
  <si>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</si>
  <si>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</si>
  <si>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</si>
  <si>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</si>
  <si>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</si>
  <si>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</si>
  <si>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</si>
  <si>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</si>
  <si>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</si>
  <si>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</si>
  <si>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</si>
  <si>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</si>
  <si>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</si>
  <si>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</si>
  <si>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</si>
  <si>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</si>
  <si>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</si>
  <si>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</si>
  <si>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</si>
  <si>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</si>
  <si>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</si>
  <si>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</si>
  <si>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</si>
  <si>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</si>
  <si>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</si>
  <si>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</si>
  <si>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</si>
  <si>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</si>
  <si>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</si>
  <si>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</si>
  <si>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</si>
  <si>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</si>
  <si>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</si>
  <si>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</si>
  <si>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</si>
  <si>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</si>
  <si>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</si>
  <si>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</si>
  <si>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</si>
  <si>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</si>
  <si>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</si>
  <si>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</si>
  <si>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</si>
  <si>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</si>
  <si>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</si>
  <si>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</si>
  <si>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</si>
  <si>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</si>
  <si>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</si>
  <si>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</si>
  <si>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</si>
  <si>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</si>
  <si>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</si>
  <si>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</si>
  <si>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</si>
  <si>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</si>
  <si>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</si>
  <si>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</si>
  <si>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</si>
  <si>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</si>
  <si>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</si>
  <si>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</si>
  <si>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</si>
  <si>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</si>
  <si>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</si>
  <si>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</si>
  <si>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</si>
  <si>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</si>
  <si>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</si>
  <si>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</si>
  <si>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</si>
  <si>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</si>
  <si>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</si>
  <si>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</si>
  <si>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</si>
  <si>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</si>
  <si>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</si>
  <si>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</si>
  <si>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</si>
  <si>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</si>
  <si>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</si>
  <si>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</si>
  <si>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</si>
  <si>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</si>
  <si>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</si>
  <si>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</si>
  <si>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</si>
  <si>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</si>
  <si>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</si>
  <si>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</si>
  <si>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</si>
  <si>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</si>
  <si>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</si>
  <si>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</si>
  <si>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</si>
  <si>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</si>
  <si>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</si>
  <si>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</si>
  <si>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</si>
  <si>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</si>
  <si>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</si>
  <si>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</si>
  <si>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</si>
  <si>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</si>
  <si>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</si>
  <si>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</si>
  <si>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</si>
  <si>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</si>
  <si>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</si>
  <si>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</si>
  <si>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</si>
  <si>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</si>
  <si>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</si>
  <si>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</si>
  <si>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</si>
  <si>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</si>
  <si>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</si>
  <si>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</si>
  <si>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</si>
  <si>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</si>
  <si>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</si>
  <si>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</si>
  <si>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</si>
  <si>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</si>
  <si>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</si>
  <si>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</si>
  <si>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</si>
  <si>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</si>
  <si>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</si>
  <si>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</si>
  <si>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</si>
  <si>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</si>
  <si>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</si>
  <si>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</si>
  <si>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</si>
  <si>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</si>
  <si>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</si>
  <si>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</si>
  <si>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</si>
  <si>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</si>
  <si>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</si>
  <si>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</si>
  <si>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</si>
  <si>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</si>
  <si>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</si>
  <si>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</si>
  <si>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</si>
  <si>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</si>
  <si>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</si>
  <si>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</si>
  <si>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</si>
  <si>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</si>
  <si>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</si>
  <si>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</si>
  <si>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</si>
  <si>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</si>
  <si>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</si>
  <si>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</si>
  <si>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</si>
  <si>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</si>
  <si>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</si>
  <si>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</si>
  <si>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</si>
  <si>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</si>
  <si>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</si>
  <si>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</si>
  <si>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</si>
  <si>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</si>
  <si>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</si>
  <si>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</si>
  <si>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</si>
  <si>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</si>
  <si>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</si>
  <si>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</si>
  <si>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</si>
  <si>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</si>
  <si>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</si>
  <si>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</si>
  <si>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</si>
  <si>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</si>
  <si>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</si>
  <si>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</si>
  <si>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</si>
  <si>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</si>
  <si>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</si>
  <si>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</si>
  <si>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</si>
  <si>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</si>
  <si>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</si>
  <si>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</si>
  <si>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</si>
  <si>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</si>
  <si>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</si>
  <si>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</si>
  <si>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</si>
  <si>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</si>
  <si>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</si>
  <si>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</si>
  <si>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</si>
  <si>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</si>
  <si>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</si>
  <si>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</si>
  <si>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</si>
  <si>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</si>
  <si>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</si>
  <si>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</si>
  <si>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</si>
  <si>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</si>
  <si>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</si>
  <si>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</si>
  <si>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</si>
  <si>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</si>
  <si>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</si>
  <si>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</si>
  <si>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</si>
  <si>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</si>
  <si>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</si>
  <si>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</si>
  <si>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</si>
  <si>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</si>
  <si>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</si>
  <si>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</si>
  <si>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</si>
  <si>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</si>
  <si>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</si>
  <si>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</si>
  <si>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</si>
  <si>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</si>
  <si>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</si>
  <si>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</si>
  <si>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</si>
  <si>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</si>
  <si>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</si>
  <si>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</si>
  <si>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</si>
  <si>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</si>
  <si>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</si>
  <si>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</si>
  <si>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</si>
  <si>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</si>
  <si>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</si>
  <si>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</si>
  <si>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</si>
  <si>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</si>
  <si>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</si>
  <si>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</si>
  <si>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</si>
  <si>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</si>
  <si>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</si>
  <si>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</si>
  <si>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</si>
  <si>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</si>
  <si>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</si>
  <si>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</si>
  <si>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</si>
  <si>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</si>
  <si>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</si>
  <si>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</si>
  <si>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</si>
  <si>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</si>
  <si>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</si>
  <si>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</si>
  <si>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</si>
  <si>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</si>
  <si>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</si>
  <si>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</si>
  <si>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</si>
  <si>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</si>
  <si>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</si>
  <si>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</si>
  <si>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</si>
  <si>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</si>
  <si>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</si>
  <si>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</si>
  <si>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</si>
  <si>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</si>
  <si>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</si>
  <si>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</si>
  <si>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</si>
  <si>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</si>
  <si>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</si>
  <si>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</si>
  <si>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</si>
  <si>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</si>
  <si>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</si>
  <si>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</si>
  <si>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</si>
  <si>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</si>
  <si>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</si>
  <si>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</si>
  <si>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</si>
  <si>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</si>
  <si>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</si>
  <si>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</si>
  <si>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</si>
  <si>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</si>
  <si>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</si>
  <si>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</si>
  <si>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</si>
  <si>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</si>
  <si>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</si>
  <si>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</si>
  <si>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</si>
  <si>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可</t>
  </si>
  <si>
    <t>可</t>
    <phoneticPr fontId="1"/>
  </si>
  <si>
    <t>林　倫子</t>
  </si>
  <si>
    <t>マイクロな建物推計に基づく災害廃棄物量算定手法の構築及び耐震化施策の軽減効果の定量　-静岡県西部地域を対象として-</t>
    <phoneticPr fontId="1"/>
  </si>
  <si>
    <t>明和池公園を対象とした利用目的と利用満足度との関係に関する調査研究</t>
    <phoneticPr fontId="1"/>
  </si>
  <si>
    <t>災害図上訓練における地元の水害履歴に関する住民の発言内容分析　‐滋賀県大津市石居地区・森地区を対象として‐</t>
    <phoneticPr fontId="1"/>
  </si>
  <si>
    <t>都市と川との一体性という観点から見た京都鴨川の景観設計の変遷</t>
    <phoneticPr fontId="1"/>
  </si>
  <si>
    <t>静岡県内の小学校校歌を素材とした富士山の文化的サービス価値の評価</t>
    <phoneticPr fontId="1"/>
  </si>
  <si>
    <t>短時間集中豪雨を想定した大規模地下空間の浸水対策の検討　-大阪梅田地区を対象として-</t>
    <phoneticPr fontId="1"/>
  </si>
  <si>
    <t>京阪神地区の鉄道会社によるハイキング・ウォーキングイベントのコース設定に関する研究</t>
    <phoneticPr fontId="1"/>
  </si>
  <si>
    <t>下水汚泥処理とごみ焼却処理の連携と広域化による低炭素効果　―和歌山県を対象として―</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</si>
</sst>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15240</xdr:colOff>
          <xdr:row>20</xdr:row>
          <xdr:rowOff>15240</xdr:rowOff>
        </xdr:from>
        <xdr:to>
          <xdr:col>18</xdr:col>
          <xdr:colOff>15240</xdr:colOff>
          <xdr:row>22</xdr:row>
          <xdr:rowOff>243840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topLeftCell="A3" zoomScaleNormal="100" workbookViewId="0">
      <selection activeCell="J21" sqref="J21:K21"/>
    </sheetView>
  </sheetViews>
  <sheetFormatPr defaultColWidth="12.796875" defaultRowHeight="18" x14ac:dyDescent="0.45"/>
  <cols>
    <col min="1" max="1" width="6.796875" customWidth="1"/>
    <col min="2" max="2" width="11.19921875" bestFit="1" customWidth="1"/>
    <col min="3" max="3" width="11" bestFit="1" customWidth="1"/>
    <col min="4" max="17" width="6.796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4" t="s">
        <v>344</v>
      </c>
      <c r="C2" s="35"/>
      <c r="D2" s="35"/>
      <c r="E2" s="35"/>
      <c r="F2" s="35"/>
      <c r="G2" s="35"/>
      <c r="H2" s="35"/>
      <c r="I2" s="35"/>
      <c r="J2" s="35"/>
      <c r="K2" s="35"/>
      <c r="L2" s="35"/>
      <c r="M2" s="35"/>
      <c r="N2" s="35"/>
      <c r="O2" s="36"/>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7" t="s">
        <v>27</v>
      </c>
      <c r="C3" s="38"/>
      <c r="D3" s="38"/>
      <c r="E3" s="38"/>
      <c r="F3" s="38"/>
      <c r="G3" s="38"/>
      <c r="H3" s="38"/>
      <c r="I3" s="38"/>
      <c r="J3" s="38"/>
      <c r="K3" s="38"/>
      <c r="L3" s="38"/>
      <c r="M3" s="38"/>
      <c r="N3" s="38"/>
      <c r="O3" s="39"/>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1</v>
      </c>
      <c r="D5" s="8"/>
      <c r="E5" s="8"/>
      <c r="F5" s="34" t="s">
        <v>346</v>
      </c>
      <c r="G5" s="35"/>
      <c r="H5" s="35"/>
      <c r="I5" s="35"/>
      <c r="J5" s="35"/>
      <c r="K5" s="35"/>
      <c r="L5" s="35"/>
      <c r="M5" s="36"/>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4" t="s">
        <v>7</v>
      </c>
      <c r="G6" s="36"/>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5" t="s">
        <v>9</v>
      </c>
      <c r="G7" s="46"/>
      <c r="H7" s="47" t="s">
        <v>10</v>
      </c>
      <c r="I7" s="48"/>
      <c r="J7" s="48"/>
      <c r="K7" s="49"/>
      <c r="L7" s="50" t="s">
        <v>11</v>
      </c>
      <c r="M7" s="51"/>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46</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t="s">
        <v>352</v>
      </c>
      <c r="D9" s="19"/>
      <c r="E9" s="4"/>
      <c r="F9" s="34" t="s">
        <v>14</v>
      </c>
      <c r="G9" s="36"/>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4" t="s">
        <v>16</v>
      </c>
      <c r="C11" s="35"/>
      <c r="D11" s="35"/>
      <c r="E11" s="35"/>
      <c r="F11" s="35"/>
      <c r="G11" s="35"/>
      <c r="H11" s="35"/>
      <c r="I11" s="35"/>
      <c r="J11" s="35"/>
      <c r="K11" s="35"/>
      <c r="L11" s="35"/>
      <c r="M11" s="35"/>
      <c r="N11" s="35"/>
      <c r="O11" s="36"/>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72</v>
      </c>
      <c r="C14" s="26" t="str">
        <f>IF(B14="","",VLOOKUP(B14,設定シート!$D$2:$E$138,2,))</f>
        <v>五十嵐　友太</v>
      </c>
      <c r="D14" s="56" t="s">
        <v>353</v>
      </c>
      <c r="E14" s="56"/>
      <c r="F14" s="56"/>
      <c r="G14" s="56"/>
      <c r="H14" s="56"/>
      <c r="I14" s="56"/>
      <c r="J14" s="57" t="s">
        <v>351</v>
      </c>
      <c r="K14" s="58"/>
      <c r="L14" s="52" t="s">
        <v>350</v>
      </c>
      <c r="M14" s="53"/>
      <c r="N14" s="52" t="s">
        <v>350</v>
      </c>
      <c r="O14" s="5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73</v>
      </c>
      <c r="C15" s="27" t="str">
        <f>IF(B15="","",VLOOKUP(B15,設定シート!$D$2:$E$138,2,))</f>
        <v>池川　大哉</v>
      </c>
      <c r="D15" s="40" t="s">
        <v>354</v>
      </c>
      <c r="E15" s="40"/>
      <c r="F15" s="40"/>
      <c r="G15" s="40"/>
      <c r="H15" s="40"/>
      <c r="I15" s="55"/>
      <c r="J15" s="41" t="s">
        <v>350</v>
      </c>
      <c r="K15" s="42"/>
      <c r="L15" s="43" t="s">
        <v>350</v>
      </c>
      <c r="M15" s="42"/>
      <c r="N15" s="43" t="s">
        <v>350</v>
      </c>
      <c r="O15" s="44"/>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74</v>
      </c>
      <c r="C16" s="27" t="str">
        <f>IF(B16="","",VLOOKUP(B16,設定シート!$D$2:$E$138,2,))</f>
        <v>市来　広夢</v>
      </c>
      <c r="D16" s="40" t="s">
        <v>355</v>
      </c>
      <c r="E16" s="40"/>
      <c r="F16" s="40"/>
      <c r="G16" s="40"/>
      <c r="H16" s="40"/>
      <c r="I16" s="55"/>
      <c r="J16" s="41" t="s">
        <v>350</v>
      </c>
      <c r="K16" s="42"/>
      <c r="L16" s="43" t="s">
        <v>350</v>
      </c>
      <c r="M16" s="42"/>
      <c r="N16" s="43" t="s">
        <v>350</v>
      </c>
      <c r="O16" s="44"/>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75</v>
      </c>
      <c r="C17" s="27" t="str">
        <f>IF(B17="","",VLOOKUP(B17,設定シート!$D$2:$E$138,2,))</f>
        <v>栢原　佑輔</v>
      </c>
      <c r="D17" s="40" t="s">
        <v>356</v>
      </c>
      <c r="E17" s="40"/>
      <c r="F17" s="40"/>
      <c r="G17" s="40"/>
      <c r="H17" s="40"/>
      <c r="I17" s="40"/>
      <c r="J17" s="41" t="s">
        <v>350</v>
      </c>
      <c r="K17" s="42"/>
      <c r="L17" s="43" t="s">
        <v>350</v>
      </c>
      <c r="M17" s="42"/>
      <c r="N17" s="43" t="s">
        <v>350</v>
      </c>
      <c r="O17" s="44"/>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76</v>
      </c>
      <c r="C18" s="27" t="str">
        <f>IF(B18="","",VLOOKUP(B18,設定シート!$D$2:$E$138,2,))</f>
        <v>沓間　景</v>
      </c>
      <c r="D18" s="40" t="s">
        <v>357</v>
      </c>
      <c r="E18" s="40"/>
      <c r="F18" s="40"/>
      <c r="G18" s="40"/>
      <c r="H18" s="40"/>
      <c r="I18" s="55"/>
      <c r="J18" s="41" t="s">
        <v>350</v>
      </c>
      <c r="K18" s="42"/>
      <c r="L18" s="43" t="s">
        <v>350</v>
      </c>
      <c r="M18" s="42"/>
      <c r="N18" s="43" t="s">
        <v>350</v>
      </c>
      <c r="O18" s="44"/>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77</v>
      </c>
      <c r="C19" s="27" t="str">
        <f>IF(B19="","",VLOOKUP(B19,設定シート!$D$2:$E$138,2,))</f>
        <v>出口　裕正</v>
      </c>
      <c r="D19" s="40" t="s">
        <v>358</v>
      </c>
      <c r="E19" s="40"/>
      <c r="F19" s="40"/>
      <c r="G19" s="40"/>
      <c r="H19" s="40"/>
      <c r="I19" s="40"/>
      <c r="J19" s="41" t="s">
        <v>350</v>
      </c>
      <c r="K19" s="42"/>
      <c r="L19" s="43" t="s">
        <v>350</v>
      </c>
      <c r="M19" s="42"/>
      <c r="N19" s="43" t="s">
        <v>350</v>
      </c>
      <c r="O19" s="44"/>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78</v>
      </c>
      <c r="C20" s="27" t="str">
        <f>IF(B20="","",VLOOKUP(B20,設定シート!$D$2:$E$138,2,))</f>
        <v>中川　滉大</v>
      </c>
      <c r="D20" s="40" t="s">
        <v>359</v>
      </c>
      <c r="E20" s="40"/>
      <c r="F20" s="40"/>
      <c r="G20" s="40"/>
      <c r="H20" s="40"/>
      <c r="I20" s="40"/>
      <c r="J20" s="41" t="s">
        <v>350</v>
      </c>
      <c r="K20" s="42"/>
      <c r="L20" s="43" t="s">
        <v>350</v>
      </c>
      <c r="M20" s="42"/>
      <c r="N20" s="43" t="s">
        <v>350</v>
      </c>
      <c r="O20" s="44"/>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t="s">
        <v>79</v>
      </c>
      <c r="C21" s="27" t="str">
        <f>IF(B21="","",VLOOKUP(B21,設定シート!$D$2:$E$138,2,))</f>
        <v>村岡　治城</v>
      </c>
      <c r="D21" s="40" t="s">
        <v>360</v>
      </c>
      <c r="E21" s="40"/>
      <c r="F21" s="40"/>
      <c r="G21" s="40"/>
      <c r="H21" s="40"/>
      <c r="I21" s="40"/>
      <c r="J21" s="41" t="s">
        <v>350</v>
      </c>
      <c r="K21" s="42"/>
      <c r="L21" s="43" t="s">
        <v>350</v>
      </c>
      <c r="M21" s="42"/>
      <c r="N21" s="43" t="s">
        <v>350</v>
      </c>
      <c r="O21" s="44"/>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0"/>
      <c r="E22" s="40"/>
      <c r="F22" s="40"/>
      <c r="G22" s="40"/>
      <c r="H22" s="40"/>
      <c r="I22" s="40"/>
      <c r="J22" s="41"/>
      <c r="K22" s="42"/>
      <c r="L22" s="43"/>
      <c r="M22" s="42"/>
      <c r="N22" s="43"/>
      <c r="O22" s="44"/>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c r="K23" s="32"/>
      <c r="L23" s="32"/>
      <c r="M23" s="32"/>
      <c r="N23" s="32"/>
      <c r="O23" s="33"/>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15240</xdr:colOff>
                    <xdr:row>20</xdr:row>
                    <xdr:rowOff>15240</xdr:rowOff>
                  </from>
                  <to>
                    <xdr:col>18</xdr:col>
                    <xdr:colOff>15240</xdr:colOff>
                    <xdr:row>22</xdr:row>
                    <xdr:rowOff>243840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19921875" bestFit="1" customWidth="1"/>
    <col min="5" max="5" width="12.296875" bestFit="1" customWidth="1"/>
    <col min="6" max="7" width="13.09765625" bestFit="1" customWidth="1"/>
    <col min="9" max="9" width="10.796875" customWidth="1"/>
    <col min="10" max="10" width="10.296875" bestFit="1" customWidth="1"/>
    <col min="11" max="11" width="13.09765625" bestFit="1" customWidth="1"/>
    <col min="14" max="14" width="10.2968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2018-02-05T05:52:45Z</dcterms:modified>
</cp:coreProperties>
</file>