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<sst xmlns="http://schemas.openxmlformats.org/spreadsheetml/2006/main" count="396" uniqueCount="358">
  <si>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</si>
  <si>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</si>
  <si>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</si>
  <si>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</si>
  <si>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</si>
  <si>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</si>
  <si>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</si>
  <si>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</si>
  <si>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</si>
  <si>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</si>
  <si>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</si>
  <si>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</si>
  <si>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</si>
  <si>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</si>
  <si>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</si>
  <si>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</si>
  <si>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</si>
  <si>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</si>
  <si>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</si>
  <si>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</si>
  <si>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</si>
  <si>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</si>
  <si>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</si>
  <si>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</si>
  <si>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</si>
  <si>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</si>
  <si>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</si>
  <si>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</si>
  <si>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</si>
  <si>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</si>
  <si>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</si>
  <si>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</si>
  <si>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</si>
  <si>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</si>
  <si>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</si>
  <si>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</si>
  <si>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</si>
  <si>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</si>
  <si>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</si>
  <si>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</si>
  <si>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</si>
  <si>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</si>
  <si>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</si>
  <si>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</si>
  <si>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</si>
  <si>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</si>
  <si>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</si>
  <si>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</si>
  <si>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</si>
  <si>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</si>
  <si>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</si>
  <si>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</si>
  <si>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</si>
  <si>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</si>
  <si>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</si>
  <si>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</si>
  <si>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</si>
  <si>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</si>
  <si>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</si>
  <si>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</si>
  <si>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</si>
  <si>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</si>
  <si>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</si>
  <si>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</si>
  <si>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</si>
  <si>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</si>
  <si>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</si>
  <si>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</si>
  <si>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</si>
  <si>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</si>
  <si>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</si>
  <si>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</si>
  <si>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</si>
  <si>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</si>
  <si>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</si>
  <si>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</si>
  <si>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</si>
  <si>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</si>
  <si>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</si>
  <si>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</si>
  <si>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</si>
  <si>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</si>
  <si>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</si>
  <si>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</si>
  <si>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</si>
  <si>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</si>
  <si>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</si>
  <si>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</si>
  <si>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</si>
  <si>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</si>
  <si>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</si>
  <si>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</si>
  <si>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</si>
  <si>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</si>
  <si>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</si>
  <si>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</si>
  <si>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</si>
  <si>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</si>
  <si>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</si>
  <si>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</si>
  <si>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</si>
  <si>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</si>
  <si>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</si>
  <si>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</si>
  <si>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</si>
  <si>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</si>
  <si>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</si>
  <si>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</si>
  <si>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</si>
  <si>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</si>
  <si>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</si>
  <si>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</si>
  <si>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</si>
  <si>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</si>
  <si>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</si>
  <si>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</si>
  <si>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</si>
  <si>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</si>
  <si>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</si>
  <si>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</si>
  <si>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</si>
  <si>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</si>
  <si>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</si>
  <si>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</si>
  <si>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</si>
  <si>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</si>
  <si>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</si>
  <si>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</si>
  <si>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</si>
  <si>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</si>
  <si>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</si>
  <si>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</si>
  <si>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</si>
  <si>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</si>
  <si>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</si>
  <si>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</si>
  <si>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</si>
  <si>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</si>
  <si>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</si>
  <si>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</si>
  <si>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</si>
  <si>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</si>
  <si>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</si>
  <si>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</si>
  <si>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</si>
  <si>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</si>
  <si>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</si>
  <si>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</si>
  <si>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</si>
  <si>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</si>
  <si>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</si>
  <si>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</si>
  <si>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</si>
  <si>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</si>
  <si>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</si>
  <si>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</si>
  <si>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</si>
  <si>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</si>
  <si>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</si>
  <si>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</si>
  <si>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</si>
  <si>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</si>
  <si>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</si>
  <si>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</si>
  <si>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</si>
  <si>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</si>
  <si>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</si>
  <si>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</si>
  <si>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</si>
  <si>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</si>
  <si>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</si>
  <si>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</si>
  <si>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</si>
  <si>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</si>
  <si>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</si>
  <si>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</si>
  <si>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</si>
  <si>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</si>
  <si>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</si>
  <si>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</si>
  <si>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</si>
  <si>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</si>
  <si>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</si>
  <si>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</si>
  <si>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</si>
  <si>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</si>
  <si>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</si>
  <si>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</si>
  <si>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</si>
  <si>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</si>
  <si>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</si>
  <si>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</si>
  <si>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</si>
  <si>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</si>
  <si>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</si>
  <si>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</si>
  <si>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</si>
  <si>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</si>
  <si>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</si>
  <si>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</si>
  <si>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</si>
  <si>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</si>
  <si>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</si>
  <si>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</si>
  <si>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</si>
  <si>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</si>
  <si>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</si>
  <si>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</si>
  <si>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</si>
  <si>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</si>
  <si>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</si>
  <si>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</si>
  <si>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</si>
  <si>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</si>
  <si>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</si>
  <si>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</si>
  <si>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</si>
  <si>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</si>
  <si>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</si>
  <si>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</si>
  <si>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</si>
  <si>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</si>
  <si>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</si>
  <si>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</si>
  <si>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</si>
  <si>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</si>
  <si>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</si>
  <si>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</si>
  <si>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</si>
  <si>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</si>
  <si>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</si>
  <si>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</si>
  <si>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</si>
  <si>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</si>
  <si>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</si>
  <si>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</si>
  <si>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</si>
  <si>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</si>
  <si>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</si>
  <si>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</si>
  <si>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</si>
  <si>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</si>
  <si>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</si>
  <si>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</si>
  <si>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</si>
  <si>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</si>
  <si>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</si>
  <si>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</si>
  <si>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</si>
  <si>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</si>
  <si>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</si>
  <si>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</si>
  <si>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</si>
  <si>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</si>
  <si>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</si>
  <si>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</si>
  <si>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</si>
  <si>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</si>
  <si>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</si>
  <si>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</si>
  <si>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</si>
  <si>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</si>
  <si>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</si>
  <si>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</si>
  <si>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</si>
  <si>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</si>
  <si>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</si>
  <si>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</si>
  <si>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</si>
  <si>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</si>
  <si>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</si>
  <si>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</si>
  <si>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</si>
  <si>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</si>
  <si>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</si>
  <si>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</si>
  <si>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</si>
  <si>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</si>
  <si>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</si>
  <si>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</si>
  <si>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</si>
  <si>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</si>
  <si>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</si>
  <si>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</si>
  <si>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</si>
  <si>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</si>
  <si>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</si>
  <si>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</si>
  <si>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</si>
  <si>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</si>
  <si>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</si>
  <si>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</si>
  <si>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</si>
  <si>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</si>
  <si>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</si>
  <si>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</si>
  <si>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</si>
  <si>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</si>
  <si>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</si>
  <si>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</si>
  <si>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</si>
  <si>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</si>
  <si>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</si>
  <si>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</si>
  <si>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</si>
  <si>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</si>
  <si>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</si>
  <si>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</si>
  <si>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</si>
  <si>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</si>
  <si>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</si>
  <si>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</si>
  <si>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</si>
  <si>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</si>
  <si>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</si>
  <si>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</si>
  <si>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</si>
  <si>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</si>
  <si>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</si>
  <si>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</si>
  <si>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</si>
  <si>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</si>
  <si>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</si>
  <si>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</si>
  <si>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</si>
  <si>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</si>
  <si>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</si>
  <si>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</si>
  <si>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</si>
  <si>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</si>
  <si>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</si>
  <si>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</si>
  <si>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</si>
  <si>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</si>
  <si>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</si>
  <si>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</si>
  <si>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</si>
  <si>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</si>
  <si>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</si>
  <si>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</si>
  <si>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</si>
  <si>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</si>
  <si>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</si>
  <si>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</si>
  <si>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</si>
  <si>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</si>
  <si>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</si>
  <si>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</si>
  <si>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</si>
  <si>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</si>
  <si>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可</t>
  </si>
  <si>
    <t>ニューラルネットワークを用いた高潮の長期評価ー伊勢湾を対象とした検討ー</t>
    <phoneticPr fontId="1"/>
  </si>
  <si>
    <t>津波・高波による巨礫移動特性の実験的検討</t>
    <phoneticPr fontId="1"/>
  </si>
  <si>
    <t>マンハッタン島におけるハリケーン・サンディによる高潮の地下鉄浸水解析</t>
    <phoneticPr fontId="1"/>
  </si>
  <si>
    <t>確率台風モデルを援用した安芸灘・伊予灘における高潮簡易予測式の提案</t>
    <phoneticPr fontId="1"/>
  </si>
  <si>
    <t>確率すべり分布モデルの信頼性に及ぼす試行回数の影響についての検討</t>
    <phoneticPr fontId="1"/>
  </si>
  <si>
    <t>水平透過板を有する中空ブロックの人工リーフにおける波浪安定性実験</t>
    <phoneticPr fontId="1"/>
  </si>
  <si>
    <t>費用便益分析を用いた最適防潮堤高さの設定方法に関する研究ー静岡県松崎町を対象としてー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</si>
</sst>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80">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0" fillId="2" borderId="2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xdr:colOff>
          <xdr:row>20</xdr:row>
          <xdr:rowOff>7620</xdr:rowOff>
        </xdr:from>
        <xdr:to>
          <xdr:col>18</xdr:col>
          <xdr:colOff>7620</xdr:colOff>
          <xdr:row>22</xdr:row>
          <xdr:rowOff>236220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80" zoomScaleNormal="80" workbookViewId="0">
      <selection activeCell="D14" sqref="D14:I14"/>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4" t="s">
        <v>344</v>
      </c>
      <c r="C2" s="35"/>
      <c r="D2" s="35"/>
      <c r="E2" s="35"/>
      <c r="F2" s="35"/>
      <c r="G2" s="35"/>
      <c r="H2" s="35"/>
      <c r="I2" s="35"/>
      <c r="J2" s="35"/>
      <c r="K2" s="35"/>
      <c r="L2" s="35"/>
      <c r="M2" s="35"/>
      <c r="N2" s="35"/>
      <c r="O2" s="36"/>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37" t="s">
        <v>29</v>
      </c>
      <c r="C3" s="38"/>
      <c r="D3" s="38"/>
      <c r="E3" s="38"/>
      <c r="F3" s="38"/>
      <c r="G3" s="38"/>
      <c r="H3" s="38"/>
      <c r="I3" s="38"/>
      <c r="J3" s="38"/>
      <c r="K3" s="38"/>
      <c r="L3" s="38"/>
      <c r="M3" s="38"/>
      <c r="N3" s="38"/>
      <c r="O3" s="39"/>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3</v>
      </c>
      <c r="D5" s="8"/>
      <c r="E5" s="8"/>
      <c r="F5" s="34" t="s">
        <v>346</v>
      </c>
      <c r="G5" s="35"/>
      <c r="H5" s="35"/>
      <c r="I5" s="35"/>
      <c r="J5" s="35"/>
      <c r="K5" s="35"/>
      <c r="L5" s="35"/>
      <c r="M5" s="36"/>
      <c r="N5" s="2"/>
      <c r="O5" s="2"/>
      <c r="P5" s="2"/>
      <c r="Q5" s="59" t="s">
        <v>349</v>
      </c>
      <c r="R5" s="59"/>
      <c r="S5" s="59"/>
      <c r="T5" s="59"/>
      <c r="U5" s="59"/>
      <c r="V5" s="59"/>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4" t="s">
        <v>7</v>
      </c>
      <c r="G6" s="36"/>
      <c r="H6" s="9" t="s">
        <v>1</v>
      </c>
      <c r="I6" s="10" t="s">
        <v>2</v>
      </c>
      <c r="J6" s="10" t="s">
        <v>3</v>
      </c>
      <c r="K6" s="10" t="s">
        <v>4</v>
      </c>
      <c r="L6" s="10" t="s">
        <v>5</v>
      </c>
      <c r="M6" s="11" t="s">
        <v>6</v>
      </c>
      <c r="N6" s="2"/>
      <c r="O6" s="2"/>
      <c r="P6" s="2"/>
      <c r="Q6" s="59"/>
      <c r="R6" s="59"/>
      <c r="S6" s="59"/>
      <c r="T6" s="59"/>
      <c r="U6" s="59"/>
      <c r="V6" s="59"/>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45" t="s">
        <v>9</v>
      </c>
      <c r="G7" s="46"/>
      <c r="H7" s="47" t="s">
        <v>10</v>
      </c>
      <c r="I7" s="48"/>
      <c r="J7" s="48"/>
      <c r="K7" s="49"/>
      <c r="L7" s="50" t="s">
        <v>11</v>
      </c>
      <c r="M7" s="51"/>
      <c r="N7" s="2"/>
      <c r="O7" s="2"/>
      <c r="P7" s="2"/>
      <c r="Q7" s="59"/>
      <c r="R7" s="59"/>
      <c r="S7" s="59"/>
      <c r="T7" s="59"/>
      <c r="U7" s="59"/>
      <c r="V7" s="59"/>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48</v>
      </c>
      <c r="D8" s="2"/>
      <c r="E8" s="4"/>
      <c r="F8" s="60" t="s">
        <v>8</v>
      </c>
      <c r="G8" s="61"/>
      <c r="H8" s="14" t="s">
        <v>13</v>
      </c>
      <c r="I8" s="15" t="s">
        <v>25</v>
      </c>
      <c r="J8" s="15" t="s">
        <v>12</v>
      </c>
      <c r="K8" s="15" t="s">
        <v>26</v>
      </c>
      <c r="L8" s="16" t="s">
        <v>13</v>
      </c>
      <c r="M8" s="17" t="s">
        <v>25</v>
      </c>
      <c r="N8" s="2"/>
      <c r="O8" s="2"/>
      <c r="P8" s="2"/>
      <c r="Q8" s="59"/>
      <c r="R8" s="59"/>
      <c r="S8" s="59"/>
      <c r="T8" s="59"/>
      <c r="U8" s="59"/>
      <c r="V8" s="59"/>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c r="D9" s="19"/>
      <c r="E9" s="4"/>
      <c r="F9" s="34" t="s">
        <v>14</v>
      </c>
      <c r="G9" s="36"/>
      <c r="H9" s="20" t="s">
        <v>24</v>
      </c>
      <c r="I9" s="21" t="s">
        <v>24</v>
      </c>
      <c r="J9" s="22" t="s">
        <v>24</v>
      </c>
      <c r="K9" s="21" t="s">
        <v>24</v>
      </c>
      <c r="L9" s="21" t="s">
        <v>24</v>
      </c>
      <c r="M9" s="23" t="s">
        <v>24</v>
      </c>
      <c r="N9" s="2"/>
      <c r="O9" s="2"/>
      <c r="P9" s="2"/>
      <c r="Q9" s="59"/>
      <c r="R9" s="59"/>
      <c r="S9" s="59"/>
      <c r="T9" s="59"/>
      <c r="U9" s="59"/>
      <c r="V9" s="59"/>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59"/>
      <c r="R10" s="59"/>
      <c r="S10" s="59"/>
      <c r="T10" s="59"/>
      <c r="U10" s="59"/>
      <c r="V10" s="59"/>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4" t="s">
        <v>16</v>
      </c>
      <c r="C11" s="35"/>
      <c r="D11" s="35"/>
      <c r="E11" s="35"/>
      <c r="F11" s="35"/>
      <c r="G11" s="35"/>
      <c r="H11" s="35"/>
      <c r="I11" s="35"/>
      <c r="J11" s="35"/>
      <c r="K11" s="35"/>
      <c r="L11" s="35"/>
      <c r="M11" s="35"/>
      <c r="N11" s="35"/>
      <c r="O11" s="36"/>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76" t="s">
        <v>347</v>
      </c>
      <c r="C12" s="78" t="s">
        <v>17</v>
      </c>
      <c r="D12" s="62" t="s">
        <v>19</v>
      </c>
      <c r="E12" s="63"/>
      <c r="F12" s="63"/>
      <c r="G12" s="63"/>
      <c r="H12" s="63"/>
      <c r="I12" s="64"/>
      <c r="J12" s="68" t="s">
        <v>348</v>
      </c>
      <c r="K12" s="63"/>
      <c r="L12" s="63"/>
      <c r="M12" s="63"/>
      <c r="N12" s="69"/>
      <c r="O12" s="70"/>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77"/>
      <c r="C13" s="79"/>
      <c r="D13" s="65"/>
      <c r="E13" s="66"/>
      <c r="F13" s="66"/>
      <c r="G13" s="66"/>
      <c r="H13" s="66"/>
      <c r="I13" s="67"/>
      <c r="J13" s="72" t="s">
        <v>20</v>
      </c>
      <c r="K13" s="73"/>
      <c r="L13" s="71" t="s">
        <v>22</v>
      </c>
      <c r="M13" s="71"/>
      <c r="N13" s="74" t="s">
        <v>21</v>
      </c>
      <c r="O13" s="75"/>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87</v>
      </c>
      <c r="C14" s="26" t="str">
        <f>IF(B14="","",VLOOKUP(B14,設定シート!$D$2:$E$138,2,))</f>
        <v>朝比奈　朋美</v>
      </c>
      <c r="D14" s="56" t="s">
        <v>357</v>
      </c>
      <c r="E14" s="56"/>
      <c r="F14" s="56"/>
      <c r="G14" s="56"/>
      <c r="H14" s="56"/>
      <c r="I14" s="56"/>
      <c r="J14" s="57" t="s">
        <v>350</v>
      </c>
      <c r="K14" s="58"/>
      <c r="L14" s="52" t="s">
        <v>350</v>
      </c>
      <c r="M14" s="53"/>
      <c r="N14" s="52" t="s">
        <v>350</v>
      </c>
      <c r="O14" s="54"/>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88</v>
      </c>
      <c r="C15" s="27" t="str">
        <f>IF(B15="","",VLOOKUP(B15,設定シート!$D$2:$E$138,2,))</f>
        <v>荒木　裕次</v>
      </c>
      <c r="D15" s="40" t="s">
        <v>351</v>
      </c>
      <c r="E15" s="40"/>
      <c r="F15" s="40"/>
      <c r="G15" s="40"/>
      <c r="H15" s="40"/>
      <c r="I15" s="55"/>
      <c r="J15" s="41" t="s">
        <v>350</v>
      </c>
      <c r="K15" s="42"/>
      <c r="L15" s="43" t="s">
        <v>350</v>
      </c>
      <c r="M15" s="42"/>
      <c r="N15" s="43" t="s">
        <v>350</v>
      </c>
      <c r="O15" s="44"/>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89</v>
      </c>
      <c r="C16" s="27" t="str">
        <f>IF(B16="","",VLOOKUP(B16,設定シート!$D$2:$E$138,2,))</f>
        <v>木曽　哲志</v>
      </c>
      <c r="D16" s="40" t="s">
        <v>352</v>
      </c>
      <c r="E16" s="40"/>
      <c r="F16" s="40"/>
      <c r="G16" s="40"/>
      <c r="H16" s="40"/>
      <c r="I16" s="55"/>
      <c r="J16" s="41" t="s">
        <v>350</v>
      </c>
      <c r="K16" s="42"/>
      <c r="L16" s="43" t="s">
        <v>350</v>
      </c>
      <c r="M16" s="42"/>
      <c r="N16" s="43" t="s">
        <v>350</v>
      </c>
      <c r="O16" s="44"/>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90</v>
      </c>
      <c r="C17" s="27" t="str">
        <f>IF(B17="","",VLOOKUP(B17,設定シート!$D$2:$E$138,2,))</f>
        <v>松元　晃大</v>
      </c>
      <c r="D17" s="40" t="s">
        <v>353</v>
      </c>
      <c r="E17" s="40"/>
      <c r="F17" s="40"/>
      <c r="G17" s="40"/>
      <c r="H17" s="40"/>
      <c r="I17" s="40"/>
      <c r="J17" s="41" t="s">
        <v>350</v>
      </c>
      <c r="K17" s="42"/>
      <c r="L17" s="43" t="s">
        <v>350</v>
      </c>
      <c r="M17" s="42"/>
      <c r="N17" s="43" t="s">
        <v>350</v>
      </c>
      <c r="O17" s="44"/>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91</v>
      </c>
      <c r="C18" s="27" t="str">
        <f>IF(B18="","",VLOOKUP(B18,設定シート!$D$2:$E$138,2,))</f>
        <v>安冨　翔哉</v>
      </c>
      <c r="D18" s="40" t="s">
        <v>356</v>
      </c>
      <c r="E18" s="40"/>
      <c r="F18" s="40"/>
      <c r="G18" s="40"/>
      <c r="H18" s="40"/>
      <c r="I18" s="55"/>
      <c r="J18" s="41" t="s">
        <v>350</v>
      </c>
      <c r="K18" s="42"/>
      <c r="L18" s="43" t="s">
        <v>350</v>
      </c>
      <c r="M18" s="42"/>
      <c r="N18" s="43" t="s">
        <v>350</v>
      </c>
      <c r="O18" s="44"/>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92</v>
      </c>
      <c r="C19" s="27" t="str">
        <f>IF(B19="","",VLOOKUP(B19,設定シート!$D$2:$E$138,2,))</f>
        <v>山村　康介</v>
      </c>
      <c r="D19" s="40" t="s">
        <v>355</v>
      </c>
      <c r="E19" s="40"/>
      <c r="F19" s="40"/>
      <c r="G19" s="40"/>
      <c r="H19" s="40"/>
      <c r="I19" s="40"/>
      <c r="J19" s="41" t="s">
        <v>350</v>
      </c>
      <c r="K19" s="42"/>
      <c r="L19" s="43" t="s">
        <v>350</v>
      </c>
      <c r="M19" s="42"/>
      <c r="N19" s="43" t="s">
        <v>350</v>
      </c>
      <c r="O19" s="44"/>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t="s">
        <v>93</v>
      </c>
      <c r="C20" s="27" t="str">
        <f>IF(B20="","",VLOOKUP(B20,設定シート!$D$2:$E$138,2,))</f>
        <v>横山　彼杜</v>
      </c>
      <c r="D20" s="40" t="s">
        <v>354</v>
      </c>
      <c r="E20" s="40"/>
      <c r="F20" s="40"/>
      <c r="G20" s="40"/>
      <c r="H20" s="40"/>
      <c r="I20" s="40"/>
      <c r="J20" s="41" t="s">
        <v>350</v>
      </c>
      <c r="K20" s="42"/>
      <c r="L20" s="43" t="s">
        <v>350</v>
      </c>
      <c r="M20" s="42"/>
      <c r="N20" s="43" t="s">
        <v>350</v>
      </c>
      <c r="O20" s="44"/>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c r="C21" s="27" t="str">
        <f>IF(B21="","",VLOOKUP(B21,設定シート!$D$2:$E$138,2,))</f>
        <v/>
      </c>
      <c r="D21" s="40"/>
      <c r="E21" s="40"/>
      <c r="F21" s="40"/>
      <c r="G21" s="40"/>
      <c r="H21" s="40"/>
      <c r="I21" s="40"/>
      <c r="J21" s="41"/>
      <c r="K21" s="42"/>
      <c r="L21" s="43"/>
      <c r="M21" s="42"/>
      <c r="N21" s="43"/>
      <c r="O21" s="44"/>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40"/>
      <c r="E22" s="40"/>
      <c r="F22" s="40"/>
      <c r="G22" s="40"/>
      <c r="H22" s="40"/>
      <c r="I22" s="40"/>
      <c r="J22" s="41"/>
      <c r="K22" s="42"/>
      <c r="L22" s="43"/>
      <c r="M22" s="42"/>
      <c r="N22" s="43"/>
      <c r="O22" s="44"/>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30"/>
      <c r="E23" s="30"/>
      <c r="F23" s="30"/>
      <c r="G23" s="30"/>
      <c r="H23" s="30"/>
      <c r="I23" s="30"/>
      <c r="J23" s="31"/>
      <c r="K23" s="32"/>
      <c r="L23" s="32"/>
      <c r="M23" s="32"/>
      <c r="N23" s="32"/>
      <c r="O23" s="33"/>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Q5:V10"/>
    <mergeCell ref="F8:G8"/>
    <mergeCell ref="F9:G9"/>
    <mergeCell ref="D12:I13"/>
    <mergeCell ref="J12:O12"/>
    <mergeCell ref="L13:M13"/>
    <mergeCell ref="J13:K13"/>
    <mergeCell ref="N13:O13"/>
    <mergeCell ref="B11:O11"/>
    <mergeCell ref="B12:B13"/>
    <mergeCell ref="C12:C13"/>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7620</xdr:colOff>
                    <xdr:row>20</xdr:row>
                    <xdr:rowOff>7620</xdr:rowOff>
                  </from>
                  <to>
                    <xdr:col>18</xdr:col>
                    <xdr:colOff>7620</xdr:colOff>
                    <xdr:row>22</xdr:row>
                    <xdr:rowOff>236220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09765625" bestFit="1" customWidth="1"/>
    <col min="3" max="4" width="16.19921875" bestFit="1" customWidth="1"/>
    <col min="5" max="5" width="12.3984375" bestFit="1" customWidth="1"/>
    <col min="6" max="7" width="13.09765625" bestFit="1" customWidth="1"/>
    <col min="9" max="9" width="10.69921875" customWidth="1"/>
    <col min="10" max="10" width="10.3984375" bestFit="1" customWidth="1"/>
    <col min="11" max="11" width="13.09765625" bestFit="1" customWidth="1"/>
    <col min="14" max="14" width="10.39843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2018-02-05T05:52:19Z</dcterms:modified>
</cp:coreProperties>
</file>