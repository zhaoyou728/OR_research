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<sst xmlns="http://schemas.openxmlformats.org/spreadsheetml/2006/main" count="391" uniqueCount="357">
  <si>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</si>
  <si>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</si>
  <si>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</si>
  <si>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</si>
  <si>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</si>
  <si>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</si>
  <si>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</si>
  <si>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</si>
  <si>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</si>
  <si>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</si>
  <si>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</si>
  <si>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</si>
  <si>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</si>
  <si>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</si>
  <si>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</si>
  <si>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</si>
  <si>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</si>
  <si>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</si>
  <si>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</si>
  <si>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</si>
  <si>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</si>
  <si>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</si>
  <si>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</si>
  <si>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</si>
  <si>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</si>
  <si>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</si>
  <si>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</si>
  <si>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</si>
  <si>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</si>
  <si>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</si>
  <si>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</si>
  <si>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</si>
  <si>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</si>
  <si>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</si>
  <si>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</si>
  <si>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</si>
  <si>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</si>
  <si>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</si>
  <si>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</si>
  <si>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</si>
  <si>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</si>
  <si>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</si>
  <si>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</si>
  <si>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</si>
  <si>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</si>
  <si>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</si>
  <si>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</si>
  <si>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</si>
  <si>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</si>
  <si>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</si>
  <si>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</si>
  <si>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</si>
  <si>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</si>
  <si>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</si>
  <si>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</si>
  <si>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</si>
  <si>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</si>
  <si>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</si>
  <si>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</si>
  <si>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</si>
  <si>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</si>
  <si>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</si>
  <si>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</si>
  <si>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</si>
  <si>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</si>
  <si>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</si>
  <si>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</si>
  <si>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</si>
  <si>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</si>
  <si>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</si>
  <si>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</si>
  <si>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</si>
  <si>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</si>
  <si>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</si>
  <si>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</si>
  <si>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</si>
  <si>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</si>
  <si>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</si>
  <si>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</si>
  <si>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</si>
  <si>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</si>
  <si>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</si>
  <si>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</si>
  <si>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</si>
  <si>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</si>
  <si>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</si>
  <si>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</si>
  <si>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</si>
  <si>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</si>
  <si>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</si>
  <si>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</si>
  <si>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</si>
  <si>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</si>
  <si>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</si>
  <si>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</si>
  <si>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</si>
  <si>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</si>
  <si>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</si>
  <si>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</si>
  <si>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</si>
  <si>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</si>
  <si>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</si>
  <si>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</si>
  <si>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</si>
  <si>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</si>
  <si>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</si>
  <si>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</si>
  <si>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</si>
  <si>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</si>
  <si>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</si>
  <si>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</si>
  <si>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</si>
  <si>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</si>
  <si>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</si>
  <si>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</si>
  <si>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</si>
  <si>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</si>
  <si>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</si>
  <si>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</si>
  <si>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</si>
  <si>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</si>
  <si>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</si>
  <si>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</si>
  <si>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</si>
  <si>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</si>
  <si>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</si>
  <si>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</si>
  <si>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</si>
  <si>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</si>
  <si>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</si>
  <si>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</si>
  <si>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</si>
  <si>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</si>
  <si>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</si>
  <si>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</si>
  <si>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</si>
  <si>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</si>
  <si>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</si>
  <si>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</si>
  <si>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</si>
  <si>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</si>
  <si>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</si>
  <si>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</si>
  <si>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</si>
  <si>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</si>
  <si>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</si>
  <si>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</si>
  <si>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</si>
  <si>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</si>
  <si>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</si>
  <si>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</si>
  <si>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</si>
  <si>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</si>
  <si>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</si>
  <si>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</si>
  <si>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</si>
  <si>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</si>
  <si>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</si>
  <si>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</si>
  <si>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</si>
  <si>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</si>
  <si>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</si>
  <si>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</si>
  <si>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</si>
  <si>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</si>
  <si>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</si>
  <si>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</si>
  <si>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</si>
  <si>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</si>
  <si>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</si>
  <si>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</si>
  <si>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</si>
  <si>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</si>
  <si>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</si>
  <si>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</si>
  <si>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</si>
  <si>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</si>
  <si>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</si>
  <si>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</si>
  <si>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</si>
  <si>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</si>
  <si>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</si>
  <si>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</si>
  <si>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</si>
  <si>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</si>
  <si>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</si>
  <si>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</si>
  <si>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</si>
  <si>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</si>
  <si>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</si>
  <si>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</si>
  <si>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</si>
  <si>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</si>
  <si>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</si>
  <si>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</si>
  <si>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</si>
  <si>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</si>
  <si>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</si>
  <si>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</si>
  <si>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</si>
  <si>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</si>
  <si>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</si>
  <si>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</si>
  <si>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</si>
  <si>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</si>
  <si>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</si>
  <si>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</si>
  <si>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</si>
  <si>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</si>
  <si>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</si>
  <si>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</si>
  <si>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</si>
  <si>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</si>
  <si>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</si>
  <si>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</si>
  <si>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</si>
  <si>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</si>
  <si>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</si>
  <si>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</si>
  <si>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</si>
  <si>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</si>
  <si>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</si>
  <si>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</si>
  <si>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</si>
  <si>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</si>
  <si>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</si>
  <si>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</si>
  <si>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</si>
  <si>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</si>
  <si>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</si>
  <si>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</si>
  <si>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</si>
  <si>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</si>
  <si>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</si>
  <si>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</si>
  <si>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</si>
  <si>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</si>
  <si>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</si>
  <si>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</si>
  <si>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</si>
  <si>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</si>
  <si>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</si>
  <si>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</si>
  <si>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</si>
  <si>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</si>
  <si>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</si>
  <si>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</si>
  <si>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</si>
  <si>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</si>
  <si>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</si>
  <si>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</si>
  <si>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</si>
  <si>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</si>
  <si>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</si>
  <si>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</si>
  <si>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</si>
  <si>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</si>
  <si>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</si>
  <si>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</si>
  <si>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</si>
  <si>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</si>
  <si>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</si>
  <si>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</si>
  <si>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</si>
  <si>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</si>
  <si>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</si>
  <si>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</si>
  <si>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</si>
  <si>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</si>
  <si>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</si>
  <si>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</si>
  <si>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</si>
  <si>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</si>
  <si>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</si>
  <si>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</si>
  <si>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</si>
  <si>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</si>
  <si>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</si>
  <si>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</si>
  <si>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</si>
  <si>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</si>
  <si>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</si>
  <si>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</si>
  <si>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</si>
  <si>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</si>
  <si>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</si>
  <si>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</si>
  <si>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</si>
  <si>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</si>
  <si>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</si>
  <si>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</si>
  <si>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</si>
  <si>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</si>
  <si>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</si>
  <si>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</si>
  <si>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</si>
  <si>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</si>
  <si>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</si>
  <si>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</si>
  <si>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</si>
  <si>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</si>
  <si>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</si>
  <si>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</si>
  <si>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</si>
  <si>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</si>
  <si>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</si>
  <si>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</si>
  <si>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</si>
  <si>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</si>
  <si>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</si>
  <si>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</si>
  <si>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</si>
  <si>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</si>
  <si>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</si>
  <si>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</si>
  <si>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</si>
  <si>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</si>
  <si>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</si>
  <si>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</si>
  <si>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</si>
  <si>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</si>
  <si>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</si>
  <si>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</si>
  <si>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</si>
  <si>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</si>
  <si>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</si>
  <si>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</si>
  <si>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</si>
  <si>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</si>
  <si>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</si>
  <si>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</si>
  <si>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</si>
  <si>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</si>
  <si>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</si>
  <si>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</si>
  <si>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</si>
  <si>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</si>
  <si>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</si>
  <si>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</si>
  <si>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</si>
  <si>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</si>
  <si>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</si>
  <si>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</si>
  <si>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</si>
  <si>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</si>
  <si>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</si>
  <si>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</si>
  <si>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</si>
  <si>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</si>
  <si>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</si>
  <si>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可</t>
  </si>
  <si>
    <t>タブレット端末の距離画像センサを用いた3次元データの生成と活用</t>
    <rPh sb="5" eb="7">
      <t>タンマツ</t>
    </rPh>
    <rPh sb="8" eb="10">
      <t>キョリ</t>
    </rPh>
    <rPh sb="10" eb="12">
      <t>ガゾウ</t>
    </rPh>
    <rPh sb="16" eb="17">
      <t>モチ</t>
    </rPh>
    <rPh sb="20" eb="22">
      <t>ジゲン</t>
    </rPh>
    <rPh sb="26" eb="28">
      <t>セイセイ</t>
    </rPh>
    <rPh sb="29" eb="31">
      <t>カツヨウ</t>
    </rPh>
    <phoneticPr fontId="1"/>
  </si>
  <si>
    <t>スマートデバイスの計測機能を用いた人の行動の可視化</t>
    <rPh sb="9" eb="11">
      <t>ケイソク</t>
    </rPh>
    <rPh sb="11" eb="13">
      <t>キノウ</t>
    </rPh>
    <rPh sb="14" eb="15">
      <t>モチ</t>
    </rPh>
    <rPh sb="17" eb="18">
      <t>ヒト</t>
    </rPh>
    <rPh sb="19" eb="21">
      <t>コウドウ</t>
    </rPh>
    <rPh sb="22" eb="25">
      <t>カシカ</t>
    </rPh>
    <phoneticPr fontId="1"/>
  </si>
  <si>
    <t>複数の計測機器による点群データを用いた道路構造物の3次元維持管理に関する研究</t>
    <rPh sb="0" eb="2">
      <t>フクスウ</t>
    </rPh>
    <rPh sb="3" eb="5">
      <t>ケイソク</t>
    </rPh>
    <rPh sb="5" eb="7">
      <t>キキ</t>
    </rPh>
    <rPh sb="10" eb="12">
      <t>テングン</t>
    </rPh>
    <rPh sb="16" eb="17">
      <t>モチ</t>
    </rPh>
    <rPh sb="19" eb="21">
      <t>ドウロ</t>
    </rPh>
    <rPh sb="21" eb="24">
      <t>コウゾウブツ</t>
    </rPh>
    <rPh sb="26" eb="28">
      <t>ジゲン</t>
    </rPh>
    <rPh sb="28" eb="30">
      <t>イジ</t>
    </rPh>
    <rPh sb="30" eb="32">
      <t>カンリ</t>
    </rPh>
    <rPh sb="33" eb="34">
      <t>カン</t>
    </rPh>
    <rPh sb="36" eb="38">
      <t>ケンキュウ</t>
    </rPh>
    <phoneticPr fontId="1"/>
  </si>
  <si>
    <t>大規模地震時の水道管路被害予測に関する研究</t>
    <rPh sb="0" eb="3">
      <t>ダイキボ</t>
    </rPh>
    <rPh sb="3" eb="6">
      <t>ジシンジ</t>
    </rPh>
    <rPh sb="7" eb="9">
      <t>スイドウ</t>
    </rPh>
    <rPh sb="9" eb="11">
      <t>カンロ</t>
    </rPh>
    <rPh sb="11" eb="13">
      <t>ヒガイ</t>
    </rPh>
    <rPh sb="13" eb="15">
      <t>ヨソク</t>
    </rPh>
    <rPh sb="16" eb="17">
      <t>カン</t>
    </rPh>
    <rPh sb="19" eb="21">
      <t>ケンキュウ</t>
    </rPh>
    <phoneticPr fontId="1"/>
  </si>
  <si>
    <t>ビデオカメラ映像を基にする3次元道路空間の生成に関する研究</t>
    <rPh sb="6" eb="8">
      <t>エイゾウ</t>
    </rPh>
    <rPh sb="9" eb="10">
      <t>モト</t>
    </rPh>
    <rPh sb="14" eb="16">
      <t>ジゲン</t>
    </rPh>
    <rPh sb="16" eb="18">
      <t>ドウロ</t>
    </rPh>
    <rPh sb="18" eb="20">
      <t>クウカン</t>
    </rPh>
    <rPh sb="21" eb="23">
      <t>セイセイ</t>
    </rPh>
    <rPh sb="24" eb="25">
      <t>カン</t>
    </rPh>
    <rPh sb="27" eb="29">
      <t>ケンキュウ</t>
    </rPh>
    <phoneticPr fontId="1"/>
  </si>
  <si>
    <t>UAVとレーザスキャナによる3次元データを用いた河川維持管理に関する研究</t>
    <rPh sb="15" eb="17">
      <t>ジゲン</t>
    </rPh>
    <rPh sb="21" eb="22">
      <t>モチ</t>
    </rPh>
    <rPh sb="24" eb="26">
      <t>カセン</t>
    </rPh>
    <rPh sb="26" eb="28">
      <t>イジ</t>
    </rPh>
    <rPh sb="28" eb="30">
      <t>カンリ</t>
    </rPh>
    <rPh sb="31" eb="32">
      <t>カン</t>
    </rPh>
    <rPh sb="34" eb="36">
      <t>ケンキュウ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</si>
</sst>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zoomScale="80" zoomScaleNormal="80" workbookViewId="0">
      <selection activeCell="H26" sqref="H26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3" t="s">
        <v>344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34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69" t="s">
        <v>44</v>
      </c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1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18</v>
      </c>
      <c r="D5" s="8"/>
      <c r="E5" s="8"/>
      <c r="F5" s="33" t="s">
        <v>346</v>
      </c>
      <c r="G5" s="49"/>
      <c r="H5" s="49"/>
      <c r="I5" s="49"/>
      <c r="J5" s="49"/>
      <c r="K5" s="49"/>
      <c r="L5" s="49"/>
      <c r="M5" s="34"/>
      <c r="N5" s="2"/>
      <c r="O5" s="2"/>
      <c r="P5" s="2"/>
      <c r="Q5" s="30" t="s">
        <v>349</v>
      </c>
      <c r="R5" s="30"/>
      <c r="S5" s="30"/>
      <c r="T5" s="30"/>
      <c r="U5" s="30"/>
      <c r="V5" s="30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3" t="s">
        <v>7</v>
      </c>
      <c r="G6" s="34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30"/>
      <c r="R6" s="30"/>
      <c r="S6" s="30"/>
      <c r="T6" s="30"/>
      <c r="U6" s="30"/>
      <c r="V6" s="30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72" t="s">
        <v>9</v>
      </c>
      <c r="G7" s="73"/>
      <c r="H7" s="74" t="s">
        <v>10</v>
      </c>
      <c r="I7" s="75"/>
      <c r="J7" s="75"/>
      <c r="K7" s="76"/>
      <c r="L7" s="77" t="s">
        <v>11</v>
      </c>
      <c r="M7" s="78"/>
      <c r="N7" s="2"/>
      <c r="O7" s="2"/>
      <c r="P7" s="2"/>
      <c r="Q7" s="30"/>
      <c r="R7" s="30"/>
      <c r="S7" s="30"/>
      <c r="T7" s="30"/>
      <c r="U7" s="30"/>
      <c r="V7" s="30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65</v>
      </c>
      <c r="D8" s="2"/>
      <c r="E8" s="4"/>
      <c r="F8" s="31" t="s">
        <v>8</v>
      </c>
      <c r="G8" s="32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30"/>
      <c r="R8" s="30"/>
      <c r="S8" s="30"/>
      <c r="T8" s="30"/>
      <c r="U8" s="30"/>
      <c r="V8" s="30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3" t="s">
        <v>14</v>
      </c>
      <c r="G9" s="34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30"/>
      <c r="R9" s="30"/>
      <c r="S9" s="30"/>
      <c r="T9" s="30"/>
      <c r="U9" s="30"/>
      <c r="V9" s="30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30"/>
      <c r="R10" s="30"/>
      <c r="S10" s="30"/>
      <c r="T10" s="30"/>
      <c r="U10" s="30"/>
      <c r="V10" s="30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3" t="s">
        <v>16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34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50" t="s">
        <v>347</v>
      </c>
      <c r="C12" s="52" t="s">
        <v>17</v>
      </c>
      <c r="D12" s="35" t="s">
        <v>19</v>
      </c>
      <c r="E12" s="36"/>
      <c r="F12" s="36"/>
      <c r="G12" s="36"/>
      <c r="H12" s="36"/>
      <c r="I12" s="37"/>
      <c r="J12" s="41" t="s">
        <v>348</v>
      </c>
      <c r="K12" s="36"/>
      <c r="L12" s="36"/>
      <c r="M12" s="36"/>
      <c r="N12" s="42"/>
      <c r="O12" s="43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51"/>
      <c r="C13" s="53"/>
      <c r="D13" s="38"/>
      <c r="E13" s="39"/>
      <c r="F13" s="39"/>
      <c r="G13" s="39"/>
      <c r="H13" s="39"/>
      <c r="I13" s="40"/>
      <c r="J13" s="45" t="s">
        <v>20</v>
      </c>
      <c r="K13" s="46"/>
      <c r="L13" s="44" t="s">
        <v>22</v>
      </c>
      <c r="M13" s="44"/>
      <c r="N13" s="47" t="s">
        <v>21</v>
      </c>
      <c r="O13" s="48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188</v>
      </c>
      <c r="C14" s="26" t="str">
        <f>IF(B14="","",VLOOKUP(B14,設定シート!$D$2:$E$138,2,))</f>
        <v>岡本　桂輔</v>
      </c>
      <c r="D14" s="58" t="s">
        <v>353</v>
      </c>
      <c r="E14" s="58"/>
      <c r="F14" s="58"/>
      <c r="G14" s="58"/>
      <c r="H14" s="58"/>
      <c r="I14" s="58"/>
      <c r="J14" s="59" t="s">
        <v>350</v>
      </c>
      <c r="K14" s="60"/>
      <c r="L14" s="63" t="s">
        <v>350</v>
      </c>
      <c r="M14" s="79"/>
      <c r="N14" s="63" t="s">
        <v>350</v>
      </c>
      <c r="O14" s="6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189</v>
      </c>
      <c r="C15" s="27" t="str">
        <f>IF(B15="","",VLOOKUP(B15,設定シート!$D$2:$E$138,2,))</f>
        <v>黄瀬　勇太</v>
      </c>
      <c r="D15" s="56" t="s">
        <v>355</v>
      </c>
      <c r="E15" s="56"/>
      <c r="F15" s="56"/>
      <c r="G15" s="56"/>
      <c r="H15" s="56"/>
      <c r="I15" s="57"/>
      <c r="J15" s="54" t="s">
        <v>350</v>
      </c>
      <c r="K15" s="55"/>
      <c r="L15" s="61" t="s">
        <v>350</v>
      </c>
      <c r="M15" s="55"/>
      <c r="N15" s="61" t="s">
        <v>350</v>
      </c>
      <c r="O15" s="6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190</v>
      </c>
      <c r="C16" s="27" t="str">
        <f>IF(B16="","",VLOOKUP(B16,設定シート!$D$2:$E$138,2,))</f>
        <v>宝多　皓大</v>
      </c>
      <c r="D16" s="56" t="s">
        <v>352</v>
      </c>
      <c r="E16" s="56"/>
      <c r="F16" s="56"/>
      <c r="G16" s="56"/>
      <c r="H16" s="56"/>
      <c r="I16" s="57"/>
      <c r="J16" s="54" t="s">
        <v>350</v>
      </c>
      <c r="K16" s="55"/>
      <c r="L16" s="61" t="s">
        <v>350</v>
      </c>
      <c r="M16" s="55"/>
      <c r="N16" s="61" t="s">
        <v>350</v>
      </c>
      <c r="O16" s="6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191</v>
      </c>
      <c r="C17" s="27" t="str">
        <f>IF(B17="","",VLOOKUP(B17,設定シート!$D$2:$E$138,2,))</f>
        <v>多田　真章</v>
      </c>
      <c r="D17" s="56" t="s">
        <v>354</v>
      </c>
      <c r="E17" s="56"/>
      <c r="F17" s="56"/>
      <c r="G17" s="56"/>
      <c r="H17" s="56"/>
      <c r="I17" s="56"/>
      <c r="J17" s="54" t="s">
        <v>350</v>
      </c>
      <c r="K17" s="55"/>
      <c r="L17" s="61" t="s">
        <v>350</v>
      </c>
      <c r="M17" s="55"/>
      <c r="N17" s="61" t="s">
        <v>350</v>
      </c>
      <c r="O17" s="6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192</v>
      </c>
      <c r="C18" s="27" t="str">
        <f>IF(B18="","",VLOOKUP(B18,設定シート!$D$2:$E$138,2,))</f>
        <v>西尾　健太</v>
      </c>
      <c r="D18" s="56" t="s">
        <v>351</v>
      </c>
      <c r="E18" s="56"/>
      <c r="F18" s="56"/>
      <c r="G18" s="56"/>
      <c r="H18" s="56"/>
      <c r="I18" s="57"/>
      <c r="J18" s="54" t="s">
        <v>350</v>
      </c>
      <c r="K18" s="55"/>
      <c r="L18" s="61" t="s">
        <v>350</v>
      </c>
      <c r="M18" s="55"/>
      <c r="N18" s="61" t="s">
        <v>350</v>
      </c>
      <c r="O18" s="6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193</v>
      </c>
      <c r="C19" s="27" t="str">
        <f>IF(B19="","",VLOOKUP(B19,設定シート!$D$2:$E$138,2,))</f>
        <v>牧野　友軌</v>
      </c>
      <c r="D19" s="56" t="s">
        <v>356</v>
      </c>
      <c r="E19" s="56"/>
      <c r="F19" s="56"/>
      <c r="G19" s="56"/>
      <c r="H19" s="56"/>
      <c r="I19" s="56"/>
      <c r="J19" s="54" t="s">
        <v>350</v>
      </c>
      <c r="K19" s="55"/>
      <c r="L19" s="61" t="s">
        <v>350</v>
      </c>
      <c r="M19" s="55"/>
      <c r="N19" s="61" t="s">
        <v>350</v>
      </c>
      <c r="O19" s="6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56"/>
      <c r="E20" s="56"/>
      <c r="F20" s="56"/>
      <c r="G20" s="56"/>
      <c r="H20" s="56"/>
      <c r="I20" s="56"/>
      <c r="J20" s="54"/>
      <c r="K20" s="55"/>
      <c r="L20" s="61"/>
      <c r="M20" s="55"/>
      <c r="N20" s="61"/>
      <c r="O20" s="6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56"/>
      <c r="E21" s="56"/>
      <c r="F21" s="56"/>
      <c r="G21" s="56"/>
      <c r="H21" s="56"/>
      <c r="I21" s="56"/>
      <c r="J21" s="54"/>
      <c r="K21" s="55"/>
      <c r="L21" s="61"/>
      <c r="M21" s="55"/>
      <c r="N21" s="61"/>
      <c r="O21" s="6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56"/>
      <c r="E22" s="56"/>
      <c r="F22" s="56"/>
      <c r="G22" s="56"/>
      <c r="H22" s="56"/>
      <c r="I22" s="56"/>
      <c r="J22" s="54"/>
      <c r="K22" s="55"/>
      <c r="L22" s="61"/>
      <c r="M22" s="55"/>
      <c r="N22" s="61"/>
      <c r="O22" s="6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65"/>
      <c r="E23" s="65"/>
      <c r="F23" s="65"/>
      <c r="G23" s="65"/>
      <c r="H23" s="65"/>
      <c r="I23" s="65"/>
      <c r="J23" s="66"/>
      <c r="K23" s="67"/>
      <c r="L23" s="67"/>
      <c r="M23" s="67"/>
      <c r="N23" s="67"/>
      <c r="O23" s="68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B22" sqref="B22"/>
    </sheetView>
  </sheetViews>
  <sheetFormatPr defaultRowHeight="18" x14ac:dyDescent="0.45"/>
  <cols>
    <col min="1" max="1" width="26.09765625" bestFit="1" customWidth="1"/>
    <col min="3" max="4" width="16.199218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2018-02-05T05:54:40Z</dcterms:modified>
</cp:coreProperties>
</file>